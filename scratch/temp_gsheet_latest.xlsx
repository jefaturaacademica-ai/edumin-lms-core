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URSOS ENERO - ABRIL" sheetId="1" r:id="rId5"/>
    <sheet state="visible" name="LISTA DE CURSOS" sheetId="2" r:id="rId6"/>
    <sheet state="visible" name="Hoja 7" sheetId="3" r:id="rId7"/>
    <sheet state="visible" name="Tabla dinámica 1" sheetId="4" r:id="rId8"/>
    <sheet state="visible" name="Hoja 2" sheetId="5" r:id="rId9"/>
    <sheet state="visible" name="CURSOS MAYO" sheetId="6" r:id="rId10"/>
    <sheet state="visible" name="Hoja 3" sheetId="7" r:id="rId11"/>
    <sheet state="visible" name="Hoja 4" sheetId="8" r:id="rId12"/>
    <sheet state="visible" name="DETALLE POR ZONAS" sheetId="9" r:id="rId13"/>
  </sheets>
  <definedNames>
    <definedName hidden="1" localSheetId="0" name="_xlnm._FilterDatabase">'CURSOS ENERO - ABRIL'!$A$1:$K$273</definedName>
    <definedName hidden="1" localSheetId="2" name="_xlnm._FilterDatabase">'Hoja 7'!$A$1:$B$1000</definedName>
    <definedName hidden="1" localSheetId="4" name="_xlnm._FilterDatabase">'Hoja 2'!$A$1:$C$77</definedName>
    <definedName hidden="1" localSheetId="1" name="Z_D153E402_02C2_4C3B_B0E1_FE5ACACAB6E1_.wvu.FilterData">'LISTA DE CURSOS'!$A$1:$R$281</definedName>
    <definedName hidden="1" localSheetId="0" name="Z_3C61FA8E_E23C_437E_A261_9905FC879972_.wvu.FilterData">'CURSOS ENERO - ABRIL'!$A$1:$S$277</definedName>
    <definedName hidden="1" localSheetId="1" name="Z_3C61FA8E_E23C_437E_A261_9905FC879972_.wvu.FilterData">'LISTA DE CURSOS'!$A$1:$U$281</definedName>
  </definedNames>
  <calcPr/>
  <customWorkbookViews>
    <customWorkbookView activeSheetId="0" maximized="1" windowHeight="0" windowWidth="0" guid="{D153E402-02C2-4C3B-B0E1-FE5ACACAB6E1}" name="curso nuevos"/>
    <customWorkbookView activeSheetId="0" maximized="1" windowHeight="0" windowWidth="0" guid="{3C61FA8E-E23C-437E-A261-9905FC879972}" name="cursos dember"/>
  </customWorkbookViews>
  <pivotCaches>
    <pivotCache cacheId="0" r:id="rId14"/>
    <pivotCache cacheId="1" r:id="rId15"/>
  </pivotCaches>
</workbook>
</file>

<file path=xl/sharedStrings.xml><?xml version="1.0" encoding="utf-8"?>
<sst xmlns="http://schemas.openxmlformats.org/spreadsheetml/2006/main" count="4103" uniqueCount="1127">
  <si>
    <t>CURSO</t>
  </si>
  <si>
    <t>ARQUITECTURA DE DATOS: LA IMPORTANCIA DEL DISEÑO, COMPONENTES, FUNCIÓN, CONFIGURACIÓN Y PATRONES</t>
  </si>
  <si>
    <t>PROCESO DE OPTIMIZACIÓN DEL MANTENIMIENTOS A PARTIR DEL USO DE TÉCNICAS DE LA INDUSTRIA 4.0</t>
  </si>
  <si>
    <t>ANÁLISIS DE MERCADOS INTERNACIONALES: ESTRATEGIAS DE IMPORTACIÓN Y EXPORTACIÓN 2025-2026</t>
  </si>
  <si>
    <t>SALUD MENTAL EN EL TRABAJO: DETECCIÓN Y PREVENCIÓN DE TRASTORNOS PSICOLÓGICOS</t>
  </si>
  <si>
    <t>DE LA IMPORTACIÓN A LA VENTA ONLINE: IMPLEMENTA TU TIENDA VIRTUAL DESDE CERO</t>
  </si>
  <si>
    <t>IMPLEMENTACIÓN DE SISTEMAS DE GESTIÓN AMBIENTAL SEGÚN ISO 14001 EN MINERÍA</t>
  </si>
  <si>
    <t>USO DE BIG DATA Y ANALÍTICA PARA LA TOMA DE DECISIONES EN LA INDUSTRIA</t>
  </si>
  <si>
    <t>SEGURIDAD Y NORMATIVA EN EL CONTROL DE INVENTARIO Y LOGÍSTICA MINERA</t>
  </si>
  <si>
    <t>CONTROL DE COSTOS EN PRODUCCIÓN INDUSTRIAL O EN ÁREAS DE PRODUCCIÓN</t>
  </si>
  <si>
    <t>REVISIÓN DE PROVEEDORES PARA EVITAR ESTAFAS EN IMPORTACIONES CHINAS</t>
  </si>
  <si>
    <t>GESTIÓN DE CRISIS Y MANEJO DE CONFLICTOS EN AMBIENTES INDUSTRIALES</t>
  </si>
  <si>
    <t>GESTIÓN DE SEGURIDAD DURANTE LAS PARADAS DE PLANTA Y MANTENIMIENTO</t>
  </si>
  <si>
    <t>GESTIÓN DE RECURSOS HUMANOS Y CLIMA ORGANIZACIONAL EN LA INDUSTRIA</t>
  </si>
  <si>
    <t>ERGONOMÍA Y SALUD OCUPACIONAL EN EL SECTOR MINERO E INDUSTRIAL</t>
  </si>
  <si>
    <t>INNOVACIÓN EN MINERÍA: APLICACIONES DE INTELIGENCIA ARTIFICIAL</t>
  </si>
  <si>
    <t>REQUISITOS CLAVE DE ISO 14001 Y CÓMO APLICARLOS EN LA EMPRESA</t>
  </si>
  <si>
    <t>IMPLEMENTACIÓN DE LEAN MANUFACTURING EN PROCESOS INDUSTRIALES</t>
  </si>
  <si>
    <t>MANTENIMIENTO PREDICTIVO Y PREVENTIVO EN EQUIPOS INDUSTRIALES</t>
  </si>
  <si>
    <t>SISTEMAS INTEGRADOS DE GESTIÓN HSEQ (ISO 9001, 14001, 45001)</t>
  </si>
  <si>
    <t>CURSO (74 cursos ok)</t>
  </si>
  <si>
    <t>LEAN MANUFACTURING: MEJORA CONTINUA EN PROCESOS INDUSTRIALES</t>
  </si>
  <si>
    <t>GESTIÓN DE LA RESPONSABILIDAD SOCIAL EMPRESARIAL EN MINERÍA</t>
  </si>
  <si>
    <t>ECOSISTEMA BIG DATA: HERRAMIENTAS Y TECNOLOGÍAS ESENCIALES</t>
  </si>
  <si>
    <t>INDICADORES CLAVE (KPIS) PARA LA CADENA DE ABASTECIMIENTOS</t>
  </si>
  <si>
    <t>MINDFULNESS Y TÉCNICAS DE ATENCIÓN PLENA PARA EL BIENESTAR</t>
  </si>
  <si>
    <t>REVISADOS PARA SUBIR</t>
  </si>
  <si>
    <t>GESTIÓN DE CONTRATOS LOGÍSTICOS EN LA INDUSTRIA Y MINERÍA</t>
  </si>
  <si>
    <t>ZONA ASIGNADA YOUTUBE</t>
  </si>
  <si>
    <t>ERGONOMÍA Y DISEÑO DE PUESTOS DE TRABAJO EN LA INDUSTRIA</t>
  </si>
  <si>
    <t>CREACIÓN DE CURSO EN SKOOL</t>
  </si>
  <si>
    <t>CREACIÓN DE CURSO EN Q10</t>
  </si>
  <si>
    <t>MANEJO DE EPPS SEGÚN LA NORMA TÉCNICA PERUANA LEY 29783</t>
  </si>
  <si>
    <t>CLASE</t>
  </si>
  <si>
    <t>IMPLEMENTACIÓN DE MEDIDAS DE CONTROL EN RIESGOS MINEROS</t>
  </si>
  <si>
    <t>TIPOS DE INTELIGENCIA ARTIFICIAL APLICADAS A LA MINERÍA</t>
  </si>
  <si>
    <t>LINK YOUTUBE IFRAME</t>
  </si>
  <si>
    <t>IMPORTACIÓN Y EXPORTACIÓN DESDE 0: CLAVES PARA EL ÉXITO</t>
  </si>
  <si>
    <t>LINK YOUTUBE</t>
  </si>
  <si>
    <t>TRANSCRIPCION</t>
  </si>
  <si>
    <t>PLANIFICACIÓN DE RIESGOS PARA IMPORTACIÓN Y EXPORTACIÓN</t>
  </si>
  <si>
    <t>GENERADO (ROGER)</t>
  </si>
  <si>
    <t>FECHA INICIO</t>
  </si>
  <si>
    <t>GESTIÓN DE COSTOS DEL MANTENIMIENTO EN LA INDUSTRIA 4.0</t>
  </si>
  <si>
    <t>FECHA FIN</t>
  </si>
  <si>
    <t>FECHA DE CERTIFICADO</t>
  </si>
  <si>
    <t>HORAS ACADEMICAS</t>
  </si>
  <si>
    <t>MONITOREO Y CONTROL EN LA OPERACIÓN DE PLANTAS MINERAS</t>
  </si>
  <si>
    <t>CATEGORÍA Q10</t>
  </si>
  <si>
    <t>GESTIÓN DE LA CADENA DE SUMINISTRO EN EMPRESAS MINERAS</t>
  </si>
  <si>
    <t>DOCENTE</t>
  </si>
  <si>
    <t>CONTROL Y SUPERVISIÓN DE PROCESOS CON SOFTWARE SCADA</t>
  </si>
  <si>
    <t>PIRÁMIDE DE PROCESOS: TÉCNICAS DE CONTROL EN MINERÍA</t>
  </si>
  <si>
    <t>SISTEMAS INTEGRADOS PARA LA GESTIÓN DE MANTENIMIENTO</t>
  </si>
  <si>
    <t>COUNTA de SUBIDO A SKOOL</t>
  </si>
  <si>
    <t>ANÁLISIS DE DATOS PARA OPTIMIZAR OPERACIONES MINERAS</t>
  </si>
  <si>
    <t>01- MANEJO DE EPPS SEGÚN LA NORMA TÉCNICA PERUANA LEY 29783</t>
  </si>
  <si>
    <t>GEO MINERA</t>
  </si>
  <si>
    <t>EVALUACIÓN DE IMPACTO AMBIENTAL EN PROYECTOS MINEROS</t>
  </si>
  <si>
    <t>GEO MINERA/ GESTIÓN AMBIENTAL SOSTENIBLE</t>
  </si>
  <si>
    <t xml:space="preserve">GESTIÓN AMBIENTAL SOSTENIBLE </t>
  </si>
  <si>
    <t>GESTIÓN DE RECURSOS HUMANOS Y DESARROLLO DEL TALENTO</t>
  </si>
  <si>
    <t>GESTIÓN MINERA</t>
  </si>
  <si>
    <t>LOGISTICA MINERA</t>
  </si>
  <si>
    <t>MINERÍA VERDE: PRÁCTICAS SOSTENIBLES Y RESPONSABLES</t>
  </si>
  <si>
    <t xml:space="preserve">SEGURIDAD Y MINERÍA INTELIGENTE </t>
  </si>
  <si>
    <t>Suma total</t>
  </si>
  <si>
    <t>LOGÍSTICA Y DISTRIBUCIÓN EN LA INDUSTRIA Y MINERÍA</t>
  </si>
  <si>
    <t>PROYECTOS CON HERRAMIENTAS DIGITALES PARA MINERÍA</t>
  </si>
  <si>
    <t>ESTÁNDARES Y SISTEMA DE CALIDAD DEL MANTENIMIENTO</t>
  </si>
  <si>
    <t>SOSTENIBILIDAD Y SEGURIDAD EN CAMPAMENTOS MINEROS</t>
  </si>
  <si>
    <t>SEGURIDAD Y CONTROL AMBIENTAL EN EL MANTENIMIENTO</t>
  </si>
  <si>
    <t>MEJORA DE LOS MÉTODOS Y MEDICIÓN DE LOS RECURSOS</t>
  </si>
  <si>
    <t>GESTIÓN DE OPERACIONES Y PROCESOS EN LA MINERÍA</t>
  </si>
  <si>
    <t>BIG DATA: TRANSFORMACIÓN DE DATOS (PYTHON Y R)</t>
  </si>
  <si>
    <t>EXPLORACIÓN MINERA Y EVALUACIÓN DE YACIMIENTOS</t>
  </si>
  <si>
    <t>PLANIFICACIÓN ESTRATÉGICA Y BALANCED SCORECARD</t>
  </si>
  <si>
    <t>Si</t>
  </si>
  <si>
    <t>EMPRENDIMIENTO Y CREACIÓN DE STARTUPS EXITOSAS</t>
  </si>
  <si>
    <t>PSICOLOGÍA ORGANIZACIONAL Y GESTIÓN DEL CAMBIO</t>
  </si>
  <si>
    <t>AUTOMATIZACIÓN DE PROCESOS EN LA INDUSTRIA 4.0</t>
  </si>
  <si>
    <t>GESTIÓN DE EMERGENCIAS EN INDUSTRIA Y MINERÍA</t>
  </si>
  <si>
    <t>GESTIÓN DE INVENTARIOS EN INDUSTRIA Y MINERÍA</t>
  </si>
  <si>
    <t>👉🏻 Clase 1: https://youtube.com/live/dJWHecyW_-I?feature=share</t>
  </si>
  <si>
    <t>MÉTODOS DE CAPTURA DE INFORMACIÓN EN BIG DATA</t>
  </si>
  <si>
    <t>CADENA DE SUMINISTRO LOGÍSTICA Y DISTRIBUCIÓN</t>
  </si>
  <si>
    <t>INTRODUCCIÓN A MACHINE LEARNING PARA BIG DATA</t>
  </si>
  <si>
    <t>GESTIÓN DE TRABAJO EN ALTO RIESGO EN MINERÍA</t>
  </si>
  <si>
    <t>GESTIÓN AVANZADA DE OPERACIONES INDUSTRIALES</t>
  </si>
  <si>
    <t>GESTIÓN DE LA ENERGÍA EN OPERACIONES MINERAS</t>
  </si>
  <si>
    <t>MINERÍA 4.0 ESSENTIALS: NUEVAS HERRAMIENTAS</t>
  </si>
  <si>
    <t>HERRAMIENTAS DE BIG DATA APLICADA A MINERÍA</t>
  </si>
  <si>
    <t>LOGÍSTICA INTERNA EN CONTROL DE ALMACENES</t>
  </si>
  <si>
    <t>MARCO JURÍDICO Y NORMATIVO DE LA MINERÍA</t>
  </si>
  <si>
    <t>https://www.youtube.com/watch?v=dJWHecyW_-I</t>
  </si>
  <si>
    <t>TENDENCIAS 2025-2026: CLAVES DE BIG DATA</t>
  </si>
  <si>
    <t>IMPLEMENTACIÓN DE LA NORMA ISO 9001:2015</t>
  </si>
  <si>
    <t>GERENCIA DE PROYECTOS DEL MANTENIMIENTO</t>
  </si>
  <si>
    <t>CONTROL DE COSTOS EN ALMACENES MINEROS</t>
  </si>
  <si>
    <t>AUTOMATIZACIÓN 4.0 EN PROCESOS MINEROS</t>
  </si>
  <si>
    <t>INTRODUCCIÓN A LA GESTIÓN DE PROYECTOS</t>
  </si>
  <si>
    <t>CONTROL DE CALIDAD EN PROCESOS MINEROS</t>
  </si>
  <si>
    <t>GESTIÓN DE RELAVES Y RESIDUOS MINEROS</t>
  </si>
  <si>
    <t>SOSTENIBILIDAD Y MINERÍA RESPONSABLE</t>
  </si>
  <si>
    <t>IMPLEMENTACIÓN DE LA ISO 45001:2018</t>
  </si>
  <si>
    <t>DOCUMENTACIÓN Y TRÁMITES ADUANEROS</t>
  </si>
  <si>
    <t>GESTIÓN DE PROVEEDORES EN MINERÍA</t>
  </si>
  <si>
    <t>CONTRATOS EN LA INDUSTRIA MINERA</t>
  </si>
  <si>
    <t>ASIGNADO</t>
  </si>
  <si>
    <t>SUBIDO A SKOOL</t>
  </si>
  <si>
    <t>RESPONSABILIDAD PENAL EN MINERÍA</t>
  </si>
  <si>
    <t>CONTROL FINANCIERO EN ALMACENES</t>
  </si>
  <si>
    <t>CURSO DE PREVENCIÓN DE RIESGOS</t>
  </si>
  <si>
    <t>TIPOS DE CONCESIONES MINERAS</t>
  </si>
  <si>
    <t>SÍ</t>
  </si>
  <si>
    <t>PRIMEROS AUXILIOS EN MINERÍA</t>
  </si>
  <si>
    <t>DERECHOS HUMANOS EN MINERÍA</t>
  </si>
  <si>
    <t>14 de enero de 2025</t>
  </si>
  <si>
    <t>23 de enero de 2025</t>
  </si>
  <si>
    <t>DERECHO LABORAL EN MINERÍA</t>
  </si>
  <si>
    <t>24 de enero de 2025</t>
  </si>
  <si>
    <t>FUNDAMENTOS DE BIG DATA</t>
  </si>
  <si>
    <t>Administración, contabilidad y finanzas</t>
  </si>
  <si>
    <t>TEMAS</t>
  </si>
  <si>
    <t>Cursos Aa- Cursos Grabados Y En Vivo</t>
  </si>
  <si>
    <t>nnn</t>
  </si>
  <si>
    <t>👉🏻 Clase 2: https://youtube.com/live/OXb7rpvAm4I?feature=share</t>
  </si>
  <si>
    <t>A</t>
  </si>
  <si>
    <t xml:space="preserve"> </t>
  </si>
  <si>
    <t>B</t>
  </si>
  <si>
    <t>https://www.youtube.com/watch?v=OXb7rpvAm4I</t>
  </si>
  <si>
    <t>ERGONOMIA Y SALUD OCUPACIONAL EN EL SECTOR MINERO E INDUSTRIAL</t>
  </si>
  <si>
    <t>C</t>
  </si>
  <si>
    <t>DERECHOS HUMANOS EN MINERIA</t>
  </si>
  <si>
    <t>DERECHO LABORAL EN MINERIA</t>
  </si>
  <si>
    <t>GESTIÓN DE CONTRATOS LOGISTICOS EN LA INDUSTRIA Y MINERÍA</t>
  </si>
  <si>
    <t>👉🏻 Clase 3: https://youtube.com/live/1lI7DvubMUM?feature=share</t>
  </si>
  <si>
    <t>LOGISTICA INTERNA EN CONTROL DE ALMACENES</t>
  </si>
  <si>
    <t>FUNDAMENTOS DE BIGDATA</t>
  </si>
  <si>
    <t>METODOS DE CAPTURA DE INFORMACIÓN EN BIGDATA</t>
  </si>
  <si>
    <t>https://www.youtube.com/watch?v=1lI7DvubMUM</t>
  </si>
  <si>
    <t>TENDENCIAS 2025- 2026 CLAVES DE BIG DATA</t>
  </si>
  <si>
    <t>BIG DATA: TRANSFORMACIÓN DE DATOS- PYTHON Y R</t>
  </si>
  <si>
    <t>MINERÍA 4.0 ESSENTIALS- NUEVAS HERRAMIENTAS</t>
  </si>
  <si>
    <t>CADENA DE SUMINISTRO LOGISTICA Y DISTRIBUCION</t>
  </si>
  <si>
    <t>MEJORA DE LOS METODOS Y MEDICION DE LOS RECURSOS</t>
  </si>
  <si>
    <t>INTRODUCCION A LA GESTION DE PROYECTOS</t>
  </si>
  <si>
    <t>INTRODUCCIÓN A MACHINE LEARNING EN MINERÍA</t>
  </si>
  <si>
    <t>HERRAMIENTAS DE BIG DATA APLICADA A MINERIA</t>
  </si>
  <si>
    <t>GESTION AVANZADA DE OPERACIONES INDUSTRIALES</t>
  </si>
  <si>
    <t>BIG DATA APLICADA A PROCESOS INDUSTRIALES</t>
  </si>
  <si>
    <t>IMPORTACIÓN Y EXPORTACIÓN DESDE 0: CLAVES PARA EL EXITO</t>
  </si>
  <si>
    <t>👉🏻 Clase 4: https://youtube.com/live/AGtFQ3G1FCU?feature=share</t>
  </si>
  <si>
    <t>APLICACIÓN DE ISO 9001 PARA PROCESOS DE IMPORTACIÓN Y EXPORTACIÓN</t>
  </si>
  <si>
    <t>ANÁLISIS DE MERCADOS INTERNACIONALES: ESTRATEGIAS DE IMPORTACIÓN Y EXPORTACIÓN 2025 - 2026</t>
  </si>
  <si>
    <t>https://www.youtube.com/watch?v=AGtFQ3G1FCU</t>
  </si>
  <si>
    <t>PIRAMIDE DE PROCESOS: TÉCNICAS DE CONTROL EN MINERÍA</t>
  </si>
  <si>
    <t>ESTANDARES Y SISTEMA DE CALIDAD DEL MANTENIMIENTO</t>
  </si>
  <si>
    <t>SEGURIDAD Y CONTROL AMIENTAL EN EL MANTENIMIENTO</t>
  </si>
  <si>
    <t>02- IMPLEMENTACIÓN DE MEDIDAS DE CONTROL EN RIESGOS MINEROS</t>
  </si>
  <si>
    <t>👉🏻 Clase 1: https://youtube.com/live/ezIG1eilHYg?feature=share</t>
  </si>
  <si>
    <t>https://www.youtube.com/watch?v=ezIG1eilHYg</t>
  </si>
  <si>
    <t>05,07,09 DEMAYO</t>
  </si>
  <si>
    <t>12,13, 14 y 15 DEMAYO</t>
  </si>
  <si>
    <t>15 de enero de 2025</t>
  </si>
  <si>
    <t>25 de enero de 2025</t>
  </si>
  <si>
    <t>19,20,21 y 22 DEMAYO</t>
  </si>
  <si>
    <t>Gestión de la Energía en Operaciones Mineras</t>
  </si>
  <si>
    <t>Planificación Estratégica y Balanced Scorecard</t>
  </si>
  <si>
    <t>Gestión de la Cadena de Suministro en Empresas Mineras</t>
  </si>
  <si>
    <t>CLASE 01</t>
  </si>
  <si>
    <t>👉🏻 Clase 2: https://youtube.com/live/WzfXRcMAedg?feature=share</t>
  </si>
  <si>
    <t>Seguridad y Normativa en el Control de Inventario y Logística Minera</t>
  </si>
  <si>
    <t>Principios generales</t>
  </si>
  <si>
    <t>https://www.youtube.com/watch?v=WzfXRcMAedg</t>
  </si>
  <si>
    <t>Salud Mental en el Trabajo: Detección y Prevención de Trastornos Psicológicos</t>
  </si>
  <si>
    <t>26,27,28,29 Y 30 DEMAYO</t>
  </si>
  <si>
    <t>Implementación de Lean Manufacturing en Procesos Industriales</t>
  </si>
  <si>
    <t>Ergonomía y Diseño de Puestos de Trabajo en la Industria</t>
  </si>
  <si>
    <t>Gestión de Seguridad Durante las Paradas de Planta y Mantenimiento</t>
  </si>
  <si>
    <t>Gestión de Relaves y Residuos Mineros</t>
  </si>
  <si>
    <t>👉🏻 Clase 3: https://youtube.com/live/l3d1FJjsBnI?feature=share</t>
  </si>
  <si>
    <t>https://www.youtube.com/watch?v=l3d1FJjsBnI</t>
  </si>
  <si>
    <t>👉🏻 Clase 4: https://youtube.com/live/iGRxLKNnaT8?feature=share</t>
  </si>
  <si>
    <t>https://www.youtube.com/watch?v=iGRxLKNnaT8</t>
  </si>
  <si>
    <t>CLASE 02</t>
  </si>
  <si>
    <t>Normas técnicas</t>
  </si>
  <si>
    <t>Requisitos clave de iso 14001 y cómo aplicarlos en la empresa</t>
  </si>
  <si>
    <t>03- ERGONOMÍA Y SALUD OCUPACIONAL EN EL SECTOR MINERO E INDUSTRIAL</t>
  </si>
  <si>
    <t>Gestión de crisis y manejo de conflictos en ambientes industriales</t>
  </si>
  <si>
    <t>👉🏻 Clase 1: https://youtube.com/live/Kwp1T7tc7n0?feature=share</t>
  </si>
  <si>
    <t>https://www.youtube.com/watch?v=Kwp1T7tc7n0</t>
  </si>
  <si>
    <t>CLASE 03</t>
  </si>
  <si>
    <t>908 581 994</t>
  </si>
  <si>
    <t>Responsabilidades y obligaciones</t>
  </si>
  <si>
    <t>970 548 389</t>
  </si>
  <si>
    <t>974 295 925</t>
  </si>
  <si>
    <t>970 183 486</t>
  </si>
  <si>
    <t>969 751 361</t>
  </si>
  <si>
    <t>964 089 146</t>
  </si>
  <si>
    <t>997 651 568</t>
  </si>
  <si>
    <t>927 313 540</t>
  </si>
  <si>
    <t>983 788 085</t>
  </si>
  <si>
    <t>929 329 201</t>
  </si>
  <si>
    <t>929 952 907</t>
  </si>
  <si>
    <t>👉🏻 Clase 2: https://youtube.com/live/-XxNjC5YTWU?feature=share</t>
  </si>
  <si>
    <t>926 122 789</t>
  </si>
  <si>
    <t>918 639 341</t>
  </si>
  <si>
    <t>https://www.youtube.com/watch?v=-XxNjC5YTWU</t>
  </si>
  <si>
    <t>941 497 699</t>
  </si>
  <si>
    <t>931 819 411</t>
  </si>
  <si>
    <t>922 623 472</t>
  </si>
  <si>
    <t>CLASE 04</t>
  </si>
  <si>
    <t>Inspección de trabajo en seguridad y salud en el trabajo (Ley N.º 29783)</t>
  </si>
  <si>
    <t>927 133 043</t>
  </si>
  <si>
    <t>944 548 945</t>
  </si>
  <si>
    <t>990 948 146</t>
  </si>
  <si>
    <t>901 649 673</t>
  </si>
  <si>
    <t>900 616 921</t>
  </si>
  <si>
    <t>966 292 204</t>
  </si>
  <si>
    <t>995 580 510</t>
  </si>
  <si>
    <t>912 670 982</t>
  </si>
  <si>
    <t>👉🏻 Clase 3: https://youtube.com/live/UlFAlcui1Iw?feature=share</t>
  </si>
  <si>
    <t>925 717 511</t>
  </si>
  <si>
    <t>935 751 416</t>
  </si>
  <si>
    <t>https://www.youtube.com/watch?v=UlFAlcui1Iw</t>
  </si>
  <si>
    <t>932 021 153</t>
  </si>
  <si>
    <t>993 225 031</t>
  </si>
  <si>
    <t>947 535 089</t>
  </si>
  <si>
    <t>951 359 337</t>
  </si>
  <si>
    <t>👉🏻 Clase 4: https://youtube.com/live/424PbUvthZ0?feature=share</t>
  </si>
  <si>
    <t>https://www.youtube.com/watch?v=424PbUvthZ0</t>
  </si>
  <si>
    <t>IPERC (Identificación de peligros y evaluación de riesgos y controles)</t>
  </si>
  <si>
    <t>04- MARCO JURÍDICO Y NORMATIVO DE LA MINERÍA</t>
  </si>
  <si>
    <t>Prevención de riesgos</t>
  </si>
  <si>
    <t xml:space="preserve">GESTIÓN MINERA </t>
  </si>
  <si>
    <t>👉🏻 Clase 1: https://youtube.com/live/d7f0Jg7Y5YY?feature=share</t>
  </si>
  <si>
    <t>https://www.youtube.com/watch?v=d7f0Jg7Y5YY</t>
  </si>
  <si>
    <t>Sistema de gestión de la seguridad y salud en el trabajo</t>
  </si>
  <si>
    <t>👉🏻 Clase 2: https://youtube.com/live/z0JpdWvpsM8?feature=share</t>
  </si>
  <si>
    <t>https://www.youtube.com/watch?v=z0JpdWvpsM8</t>
  </si>
  <si>
    <t>Control de riesgos en minería</t>
  </si>
  <si>
    <t>👉🏻 Clase 3: https://youtube.com/live/jpXPolJzulY?feature=share</t>
  </si>
  <si>
    <t>https://www.youtube.com/watch?v=jpXPolJzulY</t>
  </si>
  <si>
    <t>ZONA</t>
  </si>
  <si>
    <t>👉🏻 Clase 4: https://youtube.com/live/wAlBvkZn5Jg?feature=share</t>
  </si>
  <si>
    <t>PROGRAMA</t>
  </si>
  <si>
    <t>https://www.youtube.com/watch?v=wAlBvkZn5Jg</t>
  </si>
  <si>
    <t>Columna 1</t>
  </si>
  <si>
    <t>CURSOS</t>
  </si>
  <si>
    <t>Columna 2</t>
  </si>
  <si>
    <t>Columna 3</t>
  </si>
  <si>
    <t>Columna 4</t>
  </si>
  <si>
    <t>Columna 5</t>
  </si>
  <si>
    <t>Principales riesgos ergonómicos en el sector minero e industrial</t>
  </si>
  <si>
    <t>ZONA LOGÍSTICA MINERA</t>
  </si>
  <si>
    <t>05- GESTIÓN DE PROVEEDORES EN MINERÍA</t>
  </si>
  <si>
    <t>GESTIÓN LOGÍSTICA Y ALMACENES EN MINERÍA</t>
  </si>
  <si>
    <t>👉🏻 Clase 1: https://youtube.com/live/ezlES8BVzMo?feature=share</t>
  </si>
  <si>
    <t>GESTIÓN LOGÍSTICA Y PROVEEDORES EN LA INDUSTRIA Y MINERÍA</t>
  </si>
  <si>
    <t>https://www.youtube.com/watch?v=ezlES8BVzMo</t>
  </si>
  <si>
    <t>Diseño de equipos y estaciones de trabajo</t>
  </si>
  <si>
    <t>SUPPLY CHAIN MANAGEMENT EN INDUSTRIA Y MINERÍA</t>
  </si>
  <si>
    <t>SI</t>
  </si>
  <si>
    <t>ESPECIALISTA EN COMERCIO INTERNACIONAL: GESTIÓN ADUANERA Y LOGÍSTICA</t>
  </si>
  <si>
    <t>Capacitación y concientización</t>
  </si>
  <si>
    <t>👉🏻 Clase 2: https://youtube.com/live/InTwibl_aG8?feature=share</t>
  </si>
  <si>
    <t>https://www.youtube.com/watch?v=InTwibl_aG8</t>
  </si>
  <si>
    <t>ZONA SEGURIDAD Y MINERÍA INTELIGENTE</t>
  </si>
  <si>
    <t>SEGURIDAD INDUSTRIAL</t>
  </si>
  <si>
    <t>Investigación de accidentes de trabajo</t>
  </si>
  <si>
    <t>👉🏻 Clase 3: https://youtube.com/live/uGZhhP7DREQ?feature=share</t>
  </si>
  <si>
    <t>https://www.youtube.com/watch?v=uGZhhP7DREQ</t>
  </si>
  <si>
    <t>SEGURIDAD Y SALUD OCUPACIONAL EN LA INDUSTRIA Y MINERÍA (4 MÓDULOS)</t>
  </si>
  <si>
    <t>GESTIÓN ESTRATÉGICA PARA EMPRESAS UTILIZANDO BIG DATA Y ANÁLISIS PREDICTIVO</t>
  </si>
  <si>
    <t>👉🏻 Clase 4: https://youtube.com/live/uel312Qq5hM?feature=share</t>
  </si>
  <si>
    <t>https://www.youtube.com/watch?v=uel312Qq5hM</t>
  </si>
  <si>
    <t>MINERÍA 4.0 Y DIGITALIZACIÓN MINERA</t>
  </si>
  <si>
    <t>Ley general de minería</t>
  </si>
  <si>
    <t>06- CONTROL DE COSTOS EN ALMACENES MINEROS</t>
  </si>
  <si>
    <t>ZONA GEO MINERÍA</t>
  </si>
  <si>
    <t>GEOMETALURGIA</t>
  </si>
  <si>
    <t>GEOMECÁNICA SUBTERRÁNEA Y SUPERFICIAL</t>
  </si>
  <si>
    <t>Normativas ambientales</t>
  </si>
  <si>
    <t>👉🏻 Clase 1: https://www.youtube.com/live/UXUGUUqg5P4?</t>
  </si>
  <si>
    <t>GEOTECNIA MINERA</t>
  </si>
  <si>
    <t>https://www.youtube.com/watch?v=UXUGUUqg5P4</t>
  </si>
  <si>
    <t>Normativa sobre seguridad minera</t>
  </si>
  <si>
    <t>GEOLOGÍA MINERA</t>
  </si>
  <si>
    <t>ZONA GESTIÓN MINERA</t>
  </si>
  <si>
    <r>
      <rPr>
        <rFont val="Arial"/>
        <color theme="1"/>
        <sz val="11.0"/>
      </rPr>
      <t xml:space="preserve">👉🏻 Clase 2: </t>
    </r>
    <r>
      <rPr>
        <rFont val="Arial"/>
        <color rgb="FF1155CC"/>
        <sz val="11.0"/>
        <u/>
      </rPr>
      <t>https://www.youtube.com/live/_MiGhWoqWqY?</t>
    </r>
  </si>
  <si>
    <t>Tratados internacionales y compromisos</t>
  </si>
  <si>
    <t>GESTIÓN DE OPERACIONES INDUSTRIALES</t>
  </si>
  <si>
    <t>https://www.youtube.com/watch?v=_MiGhWoqWqY</t>
  </si>
  <si>
    <t>GESTIÓN DE CONTROL OPERATIVO EN PROCESOS MINEROS</t>
  </si>
  <si>
    <t>👉🏻 Clase 3: https://www.youtube.com/live/jl44NKscLu8?</t>
  </si>
  <si>
    <t>GERENCIA DE SISTEMAS INTEGRADOS DE GESTIÓN HSEQ</t>
  </si>
  <si>
    <t>Selección y evaluación de proveedores</t>
  </si>
  <si>
    <t>https://www.youtube.com/watch?v=jl44NKscLu8</t>
  </si>
  <si>
    <t>ZONA GESTIÓN AMBIENTAL SOSTENIBLE</t>
  </si>
  <si>
    <t>DERECHO MINERO</t>
  </si>
  <si>
    <t>👉🏻 Clase 4: https://youtube.com/live/jghOVERkJKw?feature=share</t>
  </si>
  <si>
    <t>https://www.youtube.com/watch?v=jghOVERkJKw</t>
  </si>
  <si>
    <t>Contratos y negociación con proveedores</t>
  </si>
  <si>
    <t>GESTIÓN AMBIENTAL PARA EL SECTOR MINERO E INDUSTRIAL</t>
  </si>
  <si>
    <t>07- LOGÍSTICA Y DISTRIBUCIÓN EN LA INDUSTRIA Y MINERÍA</t>
  </si>
  <si>
    <t>PREVENCIÓN DE LA CONFLICTIVIDAD, RIESGOS SOCIALES Y RESPONSABILIDAD SOCIAL MINERA</t>
  </si>
  <si>
    <t>Optimización de la cadena de suministro</t>
  </si>
  <si>
    <t>👉🏻 Clase 1: https://www.youtube.com/live/07FOszC5N2U?</t>
  </si>
  <si>
    <t>https://www.youtube.com/watch?v=07FOszC5N2U</t>
  </si>
  <si>
    <t>Tecnología y digitalización</t>
  </si>
  <si>
    <r>
      <rPr>
        <rFont val="Arial"/>
        <color theme="1"/>
        <sz val="11.0"/>
      </rPr>
      <t xml:space="preserve">👉🏻 Clase 2: </t>
    </r>
    <r>
      <rPr>
        <rFont val="Arial"/>
        <color rgb="FF1155CC"/>
        <sz val="11.0"/>
        <u/>
      </rPr>
      <t>https://www.youtube.com/live/6Ms87Rq4c30?</t>
    </r>
  </si>
  <si>
    <t>https://www.youtube.com/watch?v=6Ms87Rq4c30</t>
  </si>
  <si>
    <t>Importancia del control de costos en almacenes mineros</t>
  </si>
  <si>
    <t>👉🏻 Clase 3: https://www.youtube.com/live/tE9ceLJvHwU?</t>
  </si>
  <si>
    <t>https://www.youtube.com/watch?v=tE9ceLJvHwU</t>
  </si>
  <si>
    <t>COUNTA de PROGRAMA</t>
  </si>
  <si>
    <r>
      <rPr>
        <rFont val="Arial"/>
        <color theme="1"/>
        <sz val="11.0"/>
      </rPr>
      <t xml:space="preserve">👉🏻 Clase 2: </t>
    </r>
    <r>
      <rPr>
        <rFont val="Arial"/>
        <color rgb="FF1155CC"/>
        <sz val="11.0"/>
        <u/>
      </rPr>
      <t>https://www.youtube.com/live/_MiGhWoqWqY?</t>
    </r>
  </si>
  <si>
    <t>👉🏻 Clase 4: https://youtube.com/live/mNqKgdl6Tzs?feature=share</t>
  </si>
  <si>
    <t>https://www.youtube.com/watch?v=mNqKgdl6Tzs</t>
  </si>
  <si>
    <t>El control, clases y análisis de control de costos</t>
  </si>
  <si>
    <t>08- CONTRATOS EN LA INDUSTRIA MINERA</t>
  </si>
  <si>
    <t>Planificación y presupuestación, eficiencia de los controles de ejecución</t>
  </si>
  <si>
    <t>👉🏻 Clase 1: https://youtube.com/live/rmg-UHlIzoA?feature=share</t>
  </si>
  <si>
    <t>https://www.youtube.com/watch?v=rmg-UHlIzoA</t>
  </si>
  <si>
    <t>Evaluación y monitoreo con KPIs</t>
  </si>
  <si>
    <t>👉🏻 Clase 2: https://youtube.com/live/9NsuHQy0QC8?feature=share</t>
  </si>
  <si>
    <t>https://www.youtube.com/watch?v=9NsuHQy0QC8</t>
  </si>
  <si>
    <t>👉🏻 Clase 3: https://youtube.com/live/aHoENZaJGAw?feature=share</t>
  </si>
  <si>
    <t>https://www.youtube.com/watch?v=aHoENZaJGAw</t>
  </si>
  <si>
    <t>Logística en la industria</t>
  </si>
  <si>
    <t>👉🏻 Clase 4: https://youtube.com/live/Ti4OsD_8CUA?feature=share</t>
  </si>
  <si>
    <t>https://www.youtube.com/watch?v=Ti4OsD_8CUA</t>
  </si>
  <si>
    <r>
      <rPr>
        <rFont val="Arial"/>
        <color theme="1"/>
        <sz val="11.0"/>
      </rPr>
      <t xml:space="preserve">👉🏻 Clase 2: </t>
    </r>
    <r>
      <rPr>
        <rFont val="Arial"/>
        <color rgb="FF1155CC"/>
        <sz val="11.0"/>
        <u/>
      </rPr>
      <t>https://www.youtube.com/live/6Ms87Rq4c30?</t>
    </r>
  </si>
  <si>
    <t>09- DERECHOS HUMANOS EN MINERÍA</t>
  </si>
  <si>
    <t>Logística en la minería</t>
  </si>
  <si>
    <t>👉🏻 Clase 1: https://youtube.com/live/ozB-gIAstz8?feature=share</t>
  </si>
  <si>
    <t>https://www.youtube.com/watch?v=ozB-gIAstz8</t>
  </si>
  <si>
    <t>Diseño de redes en la distribución en la industria y minería</t>
  </si>
  <si>
    <t>👉🏻 Clase 2: https://youtube.com/live/fyNAO5zb9sU?feature=share</t>
  </si>
  <si>
    <t>https://www.youtube.com/watch?v=fyNAO5zb9sU</t>
  </si>
  <si>
    <t>Tendencias en la logística y distribución de la minería</t>
  </si>
  <si>
    <t>👉🏻 Clase 3: https://youtube.com/live/b7dUQkR3am0?feature=share</t>
  </si>
  <si>
    <t>https://www.youtube.com/watch?v=b7dUQkR3am0</t>
  </si>
  <si>
    <t>👉🏻 Clase 4: https://youtube.com/live/nGgUIA2w3YI?feature=share</t>
  </si>
  <si>
    <t>https://www.youtube.com/watch?v=nGgUIA2w3YI</t>
  </si>
  <si>
    <t>Tipos de contratos en la industria minera</t>
  </si>
  <si>
    <t>10- GESTIÓN DE TRABAJO EN ALTO RIESGO EN MINERÍA</t>
  </si>
  <si>
    <t>👉🏻 *Clase 1:*https://youtube.com/live/OVUzg3BcNxs?feature=share</t>
  </si>
  <si>
    <t>Condiciones legales y regulatorias en contratos mineros</t>
  </si>
  <si>
    <t>https://www.youtube.com/watch?v=OVUzg3BcNxs</t>
  </si>
  <si>
    <t>Control de riesgos en los contratos mineros</t>
  </si>
  <si>
    <t>👉🏻 Clase 2: https://youtube.com/live/z3OXjK4mn3M?feature=share</t>
  </si>
  <si>
    <t>https://www.youtube.com/watch?v=z3OXjK4mn3M</t>
  </si>
  <si>
    <t>👉🏻 Clase 3: https://youtube.com/live/k7pYtlmoTgY?feature=share</t>
  </si>
  <si>
    <t>Resolución de conflicto y litigios</t>
  </si>
  <si>
    <t>https://www.youtube.com/watch?v=k7pYtlmoTgY</t>
  </si>
  <si>
    <t>👉🏻 Clase 4: https://youtube.com/live/1ngKQh_nKpA?feature=share</t>
  </si>
  <si>
    <t>https://www.youtube.com/watch?v=1ngKQh_nKpA</t>
  </si>
  <si>
    <t>11- RESPONSABILIDAD PENAL EN MINERÍA</t>
  </si>
  <si>
    <t>Minería y derechos humanos</t>
  </si>
  <si>
    <r>
      <rPr>
        <rFont val="Arial"/>
        <color theme="1"/>
        <sz val="11.0"/>
      </rPr>
      <t xml:space="preserve">👉🏻 Clase 1: </t>
    </r>
    <r>
      <rPr>
        <rFont val="Arial"/>
        <color rgb="FF1155CC"/>
        <sz val="11.0"/>
        <u/>
      </rPr>
      <t>https://www.youtube.com/live/WT87cCEYFRM?</t>
    </r>
  </si>
  <si>
    <t>Derechos laborales en la industria minera</t>
  </si>
  <si>
    <t>https://www.youtube.com/watch?v=WT87cCEYFRM</t>
  </si>
  <si>
    <t>Origen y características del canon minero</t>
  </si>
  <si>
    <t>4 de febrero de 2025</t>
  </si>
  <si>
    <t>7 de febrero de 2025</t>
  </si>
  <si>
    <t>8 de febrero de 2025</t>
  </si>
  <si>
    <t>👉🏻 Clase 2: https://youtube.com/live/1WFr2u8rKSU?feature=share</t>
  </si>
  <si>
    <t>https://www.youtube.com/watch?v=1WFr2u8rKSU</t>
  </si>
  <si>
    <t>Marco legal y normativo que protege los derechos comunitarios en minería</t>
  </si>
  <si>
    <t>👉🏻 Clase 3: https://youtube.com/live/kyaj0F42pTU?feature=share</t>
  </si>
  <si>
    <t>https://www.youtube.com/watch?v=kyaj0F42pTU</t>
  </si>
  <si>
    <t>👉🏻 Clase 4: https://youtube.com/live/qdC2jgv49og?feature=share</t>
  </si>
  <si>
    <t>https://www.youtube.com/watch?v=qdC2jgv49og</t>
  </si>
  <si>
    <t>12- DERECHO LABORAL EN MINERÍA</t>
  </si>
  <si>
    <t>Marco legal</t>
  </si>
  <si>
    <t>👉🏻 Clase 1: https://youtube.com/live/jLeuaX-G3Hs?</t>
  </si>
  <si>
    <t>Formatos, documentos para la gestión de seguridad</t>
  </si>
  <si>
    <t>https://www.youtube.com/watch?v=jLeuaX-G3Hs</t>
  </si>
  <si>
    <t>21 de enero de 2025</t>
  </si>
  <si>
    <t>30 de enero de 2025</t>
  </si>
  <si>
    <t>31 de enero de 2025</t>
  </si>
  <si>
    <t>Trabajos en altura, trabajos con izajes</t>
  </si>
  <si>
    <t>👉🏻 Clase 2: https://youtube.com/live/LD6oSbGfkFU?</t>
  </si>
  <si>
    <t>https://www.youtube.com/watch?v=LD6oSbGfkFU</t>
  </si>
  <si>
    <t>Trabajos en caliente, trabajos en espacios confinados</t>
  </si>
  <si>
    <t>👉🏻 Clase 3: https://youtube.com/live/F71dYyft28g?</t>
  </si>
  <si>
    <t>https://www.youtube.com/watch?v=F71dYyft28g</t>
  </si>
  <si>
    <r>
      <rPr>
        <rFont val="Arial"/>
        <color theme="1"/>
        <sz val="11.0"/>
      </rPr>
      <t xml:space="preserve">👉🏻 Clase 1: </t>
    </r>
    <r>
      <rPr>
        <rFont val="Arial"/>
        <color rgb="FF1155CC"/>
        <sz val="11.0"/>
        <u/>
      </rPr>
      <t>https://www.youtube.com/live/WT87cCEYFRM?</t>
    </r>
  </si>
  <si>
    <t>👉🏻 Clase 4: https://youtube.com/live/aQYZnNVqr2c?</t>
  </si>
  <si>
    <t>https://www.youtube.com/watch?v=aQYZnNVqr2c</t>
  </si>
  <si>
    <t>13- TIPOS DE CONCESIONES MINERAS</t>
  </si>
  <si>
    <t>Responsabilidad penal por accidentes mineros</t>
  </si>
  <si>
    <t>👉🏻 Clase 1: https://youtube.com/live/cDn_mKRjs_w?feature=share</t>
  </si>
  <si>
    <t>https://www.youtube.com/watch?v=cDn_mKRjs_w</t>
  </si>
  <si>
    <t>Delitos ambientales en la minería</t>
  </si>
  <si>
    <t>22 de enero de 2025</t>
  </si>
  <si>
    <t>1 de febrero de 2025</t>
  </si>
  <si>
    <t>👉🏻 Clase 2: https://youtube.com/live/Y_O1pmn5AI0?feature=share</t>
  </si>
  <si>
    <t>https://www.youtube.com/watch?v=Y_O1pmn5AI0</t>
  </si>
  <si>
    <t>Responsabilidad penal por daños a la salud pública</t>
  </si>
  <si>
    <t>👉🏻 Clase 3: https://youtube.com/live/aoz3cGZ19QA?feature=share</t>
  </si>
  <si>
    <t>https://www.youtube.com/watch?v=aoz3cGZ19QA</t>
  </si>
  <si>
    <t>Incumplimiento de normas laborales por parte del empleador</t>
  </si>
  <si>
    <t>👉🏻 Clase 4: https://youtube.com/live/mC3gBQbSi8E?feature=share</t>
  </si>
  <si>
    <t>https://www.youtube.com/watch?v=mC3gBQbSi8E</t>
  </si>
  <si>
    <t>14- GESTIÓN DE CONTRATOS LOGÍSTICOS EN LA INDUSTRIA Y MINERÍA</t>
  </si>
  <si>
    <t>Derechos y obligaciones de los trabajadores</t>
  </si>
  <si>
    <r>
      <rPr>
        <rFont val="Arial"/>
        <color theme="1"/>
        <sz val="11.0"/>
      </rPr>
      <t xml:space="preserve">👉🏻 Clase 1: </t>
    </r>
    <r>
      <rPr>
        <rFont val="Arial"/>
        <color rgb="FF1155CC"/>
        <sz val="11.0"/>
        <u/>
      </rPr>
      <t>https://youtube.com/live/Axdv633ShjY?</t>
    </r>
  </si>
  <si>
    <t>https://www.youtube.com/watch?v=Axdv633ShjY</t>
  </si>
  <si>
    <t>Conflictos laborales en la minería</t>
  </si>
  <si>
    <t>👉🏻 Clase 2: https://youtube.com/live/M8p1LNfXxbQ?</t>
  </si>
  <si>
    <t>https://www.youtube.com/watch?v=M8p1LNfXxbQ</t>
  </si>
  <si>
    <t>Seguridad y salud en trabajo minero</t>
  </si>
  <si>
    <t>👉🏻 Clase 3: https://youtube.com/live/n5z9gs_SSEQ?</t>
  </si>
  <si>
    <t>https://www.youtube.com/watch?v=n5z9gs_SSEQ</t>
  </si>
  <si>
    <t>Responsabilidad de las empresas mineras en derecho laboral</t>
  </si>
  <si>
    <t>👉🏻 Clase 4: https://youtube.com/live/vlHcoDpvB5c?</t>
  </si>
  <si>
    <t>https://www.youtube.com/watch?v=vlHcoDpvB5c</t>
  </si>
  <si>
    <t>15- CURSO DE PREVENCIÓN DE RIESGOS</t>
  </si>
  <si>
    <t>Concesión minera de explotación</t>
  </si>
  <si>
    <r>
      <rPr>
        <rFont val="Arial"/>
        <color theme="1"/>
        <sz val="11.0"/>
      </rPr>
      <t xml:space="preserve">👉🏻 Clase 1: </t>
    </r>
    <r>
      <rPr>
        <rFont val="Arial"/>
        <color rgb="FF1155CC"/>
        <sz val="11.0"/>
        <u/>
      </rPr>
      <t>https://www.youtube.com/live/p1a7r_YmrdA?</t>
    </r>
  </si>
  <si>
    <t>https://www.youtube.com/watch?v=p1a7r_YmrdA</t>
  </si>
  <si>
    <t>Concesión minera de exploración</t>
  </si>
  <si>
    <t>NO</t>
  </si>
  <si>
    <t>👉🏻 Clase 2: https://www.youtube.com/live/0FfbK6RZ22M?</t>
  </si>
  <si>
    <t>https://www.youtube.com/watch?v=0FfbK6RZ22M</t>
  </si>
  <si>
    <t>Concesión minera de combinada</t>
  </si>
  <si>
    <t>👉🏻 Clase 3: https://youtube.com/live/HqDKhmbPYno?feature=share</t>
  </si>
  <si>
    <t>https://www.youtube.com/watch?v=HqDKhmbPYno</t>
  </si>
  <si>
    <t>Concesión minera de subsuelo</t>
  </si>
  <si>
    <t>👉🏻 Clase 4: https://youtube.com/live/NWAm7TKvVXg?feature=share</t>
  </si>
  <si>
    <t>https://www.youtube.com/watch?v=NWAm7TKvVXg</t>
  </si>
  <si>
    <t>16- IMPLEMENTACIÓN DE LA ISO 45001:2018</t>
  </si>
  <si>
    <r>
      <rPr>
        <rFont val="Arial"/>
        <color theme="1"/>
        <sz val="11.0"/>
      </rPr>
      <t xml:space="preserve">👉🏻 Clase 1: </t>
    </r>
    <r>
      <rPr>
        <rFont val="Arial"/>
        <color rgb="FF1155CC"/>
        <sz val="11.0"/>
        <u/>
      </rPr>
      <t>https://youtube.com/live/Axdv633ShjY?</t>
    </r>
  </si>
  <si>
    <t>👉🏻 Clase 1: https://youtube.com/live/TO8myacc6OY?feature=share</t>
  </si>
  <si>
    <t>https://www.youtube.com/watch?v=TO8myacc6OY</t>
  </si>
  <si>
    <t>Selección de proveedores logísticos</t>
  </si>
  <si>
    <r>
      <rPr>
        <rFont val="Arial"/>
        <color theme="1"/>
        <sz val="11.0"/>
      </rPr>
      <t xml:space="preserve">👉🏻 Clase 2: </t>
    </r>
    <r>
      <rPr>
        <rFont val="Arial"/>
        <color rgb="FF1155CC"/>
        <sz val="11.0"/>
        <u/>
      </rPr>
      <t>https://www.youtube.com/live/E6FpvYBkSKw?</t>
    </r>
  </si>
  <si>
    <t>https://www.youtube.com/watch?v=E6FpvYBkSKw</t>
  </si>
  <si>
    <t>Gestión de riesgos en los contratos logísticos</t>
  </si>
  <si>
    <t>👉🏻 Clase 3: https://youtube.com/live/HlQkA5dlHf4?</t>
  </si>
  <si>
    <t>https://www.youtube.com/watch?v=HlQkA5dlHf4</t>
  </si>
  <si>
    <t>Gestión de contratos logísticos</t>
  </si>
  <si>
    <t>👉🏻 Clase 4: https://youtube.com/live/E9Xsqn780Xg?feature=share</t>
  </si>
  <si>
    <t>https://www.youtube.com/watch?v=E9Xsqn780Xg</t>
  </si>
  <si>
    <t>Optimización de costos logísticos en contratos</t>
  </si>
  <si>
    <t>17- GESTIÓN DE EMERGENCIAS EN INDUSTRIA Y MINERÍA</t>
  </si>
  <si>
    <t>👉🏻 Clase 1: https://youtube.com/live/mb0L2PI7s_c?feature=share</t>
  </si>
  <si>
    <r>
      <rPr>
        <rFont val="Arial"/>
        <color theme="1"/>
        <sz val="11.0"/>
      </rPr>
      <t xml:space="preserve">👉🏻 Clase 1: </t>
    </r>
    <r>
      <rPr>
        <rFont val="Arial"/>
        <color rgb="FF1155CC"/>
        <sz val="11.0"/>
        <u/>
      </rPr>
      <t>https://www.youtube.com/live/p1a7r_YmrdA?</t>
    </r>
  </si>
  <si>
    <t>https://www.youtube.com/watch?v=mb0L2PI7s_c</t>
  </si>
  <si>
    <t>👉🏻 Clase 2: https://youtube.com/live/IL_gbYIdcoo?feature=share</t>
  </si>
  <si>
    <t>Principios de la seguridad en la minería</t>
  </si>
  <si>
    <t>https://www.youtube.com/watch?v=IL_gbYIdcoo</t>
  </si>
  <si>
    <t>👉🏻 Clase 3: https://youtube.com/live/JuTDWiaNQ_Q?feature=share</t>
  </si>
  <si>
    <t>https://www.youtube.com/watch?v=JuTDWiaNQ_Q</t>
  </si>
  <si>
    <t>Identificación de riesgos</t>
  </si>
  <si>
    <t>👉🏻 Clase 4: https://youtube.com/live/KCi0XIqlWfw?feature=share</t>
  </si>
  <si>
    <t>https://www.youtube.com/watch?v=KCi0XIqlWfw</t>
  </si>
  <si>
    <t>Riesgos específicos en minería subterránea</t>
  </si>
  <si>
    <t>18- GESTIÓN DE INVENTARIOS EN INDUSTRIA Y MINERÍA</t>
  </si>
  <si>
    <t>Medidas preventivas generales en la minería</t>
  </si>
  <si>
    <r>
      <rPr>
        <rFont val="Arial"/>
        <color theme="1"/>
        <sz val="11.0"/>
      </rPr>
      <t xml:space="preserve">👉🏻 Clase 1: </t>
    </r>
    <r>
      <rPr>
        <rFont val="Arial"/>
        <color rgb="FF1155CC"/>
        <sz val="11.0"/>
        <u/>
      </rPr>
      <t>https://youtube.com/live/tQ53yAu_Zf4?</t>
    </r>
  </si>
  <si>
    <t>https://www.youtube.com/watch?v=tQ53yAu_Zf4</t>
  </si>
  <si>
    <t>👉🏻 Clase 2: https://youtube.com/live/LN9iVEIEs9U?</t>
  </si>
  <si>
    <t>Implementación de la norma ISO 45001:2018 en la minería</t>
  </si>
  <si>
    <t>https://www.youtube.com/watch?v=LN9iVEIEs9U</t>
  </si>
  <si>
    <r>
      <rPr>
        <rFont val="Arial"/>
        <color theme="1"/>
        <sz val="11.0"/>
      </rPr>
      <t xml:space="preserve">👉🏻 Clase 2: </t>
    </r>
    <r>
      <rPr>
        <rFont val="Arial"/>
        <color rgb="FF1155CC"/>
        <sz val="11.0"/>
        <u/>
      </rPr>
      <t>https://www.youtube.com/live/E6FpvYBkSKw?</t>
    </r>
  </si>
  <si>
    <t>👉🏻 Clase 3: https://youtube.com/live/3HL99bvtxyI?</t>
  </si>
  <si>
    <t>https://www.youtube.com/watch?v=3HL99bvtxyI</t>
  </si>
  <si>
    <t>Identificación de peligros y evaluación de riesgos</t>
  </si>
  <si>
    <t>👉🏻 Clase 4: https://youtube.com/live/iOqVUVy_u94?</t>
  </si>
  <si>
    <t>https://www.youtube.com/watch?v=iOqVUVy_u94</t>
  </si>
  <si>
    <t>Beneficios de implementar la ISO 45001 en la minería</t>
  </si>
  <si>
    <t>19- CONTROL FINANCIERO EN ALMACENES</t>
  </si>
  <si>
    <t>👉🏻 Clase 1: https://youtube.com/live/ismQD4kej3E?feature=share</t>
  </si>
  <si>
    <t>https://www.youtube.com/watch?v=ismQD4kej3E</t>
  </si>
  <si>
    <t>Auditoría ISO 45001</t>
  </si>
  <si>
    <t>👉🏻 Clase 2: https://youtube.com/live/k5joz3niO10?feature=share</t>
  </si>
  <si>
    <t>https://www.youtube.com/watch?v=k5joz3niO10</t>
  </si>
  <si>
    <t>👉🏻 Clase 3: https://youtube.com/live/FLzgNFkWFE4?feature=share</t>
  </si>
  <si>
    <t>Emergencias en la industria</t>
  </si>
  <si>
    <t>https://www.youtube.com/watch?v=FLzgNFkWFE4</t>
  </si>
  <si>
    <t>👉🏻 Clase 4: https://youtube.com/live/cjKaqGPSzyQ?feature=share</t>
  </si>
  <si>
    <t>Marco legal y normativo en la gestión de emergencias</t>
  </si>
  <si>
    <t>https://www.youtube.com/watch?v=cjKaqGPSzyQ</t>
  </si>
  <si>
    <t>20- LOGÍSTICA INTERNA EN CONTROL DE ALMACENES</t>
  </si>
  <si>
    <t>Simulacro y entrenamiento</t>
  </si>
  <si>
    <r>
      <rPr>
        <rFont val="Arial"/>
        <color theme="1"/>
        <sz val="11.0"/>
      </rPr>
      <t xml:space="preserve">👉🏻 Clase 1: </t>
    </r>
    <r>
      <rPr>
        <rFont val="Arial"/>
        <color rgb="FF1155CC"/>
        <sz val="11.0"/>
        <u/>
      </rPr>
      <t>https://youtube.com/live/iNsT-mga0Jk?</t>
    </r>
  </si>
  <si>
    <t>Responsabilidad social y gestión de emergencias</t>
  </si>
  <si>
    <t>https://www.youtube.com/watch?v=iNsT-mga0Jk</t>
  </si>
  <si>
    <r>
      <rPr>
        <rFont val="Arial"/>
        <color theme="1"/>
        <sz val="11.0"/>
      </rPr>
      <t xml:space="preserve">👉🏻 Clase 1: </t>
    </r>
    <r>
      <rPr>
        <rFont val="Arial"/>
        <color rgb="FF1155CC"/>
        <sz val="11.0"/>
        <u/>
      </rPr>
      <t>https://youtube.com/live/tQ53yAu_Zf4?</t>
    </r>
  </si>
  <si>
    <t>👉🏻 Clase 2: https://youtube.com/live/ASZqEEqOoFs?</t>
  </si>
  <si>
    <t>https://www.youtube.com/watch?v=ASZqEEqOoFs</t>
  </si>
  <si>
    <t>Concepto básico de planificación de inventarios</t>
  </si>
  <si>
    <t>👉🏻 Clase 3: https://youtube.com/live/0XyYPcF1u6s?</t>
  </si>
  <si>
    <t>https://www.youtube.com/watch?v=0XyYPcF1u6s</t>
  </si>
  <si>
    <t>👉🏻 Clase 4: https://youtube.com/live/22xY82kg2rA?</t>
  </si>
  <si>
    <t>https://www.youtube.com/watch?v=22xY82kg2rA</t>
  </si>
  <si>
    <t>Clasificación de inventarios</t>
  </si>
  <si>
    <t>21- FUNDAMENTOS DE BIG DATA</t>
  </si>
  <si>
    <t>Sistemas de gestión de inventarios</t>
  </si>
  <si>
    <t>👉🏻 Clase 1: https://youtube.com/live/ySMqrteo540?feature=share</t>
  </si>
  <si>
    <t>https://www.youtube.com/watch?v=ySMqrteo540</t>
  </si>
  <si>
    <t>Herramientas tecnológicas aplicadas a la minería</t>
  </si>
  <si>
    <t>13 de febrero de 2025</t>
  </si>
  <si>
    <t>14 de febrero de 2025</t>
  </si>
  <si>
    <t>👉🏻 Clase 2: https://youtube.com/live/zTewunME6AY?feature=share</t>
  </si>
  <si>
    <t>https://www.youtube.com/watch?v=zTewunME6AY</t>
  </si>
  <si>
    <t>si</t>
  </si>
  <si>
    <t>👉🏻 Clase 3: https://youtube.com/live/6mA1GD-i6WE?feature=share</t>
  </si>
  <si>
    <t>https://www.youtube.com/watch?v=6mA1GD-i6WE</t>
  </si>
  <si>
    <t>Tipos de informes</t>
  </si>
  <si>
    <t>👉🏻 Clase 4: https://youtube.com/live/O_0aE-2oXcI?feature=share</t>
  </si>
  <si>
    <t>https://www.youtube.com/watch?v=O_0aE-2oXcI</t>
  </si>
  <si>
    <t>Análisis financieros</t>
  </si>
  <si>
    <t>22- MÉTODOS DE CAPTURA DE INFORMACIÓN EN BIG DATA</t>
  </si>
  <si>
    <t>Control y auditoría</t>
  </si>
  <si>
    <t>👉🏻 Clase 1: https://youtube.com/live/_oPHB7b9QbU?feature=share</t>
  </si>
  <si>
    <t>https://www.youtube.com/watch?v=_oPHB7b9QbU</t>
  </si>
  <si>
    <t>5 de febrero de 2025</t>
  </si>
  <si>
    <t>15 de febrero de 2025</t>
  </si>
  <si>
    <t>Mejora en las prácticas en el control financiero en almacenes</t>
  </si>
  <si>
    <t>👉🏻 Clase 2: https://youtube.com/live/Q0gav66aYsc?feature=share</t>
  </si>
  <si>
    <t>https://www.youtube.com/watch?v=Q0gav66aYsc</t>
  </si>
  <si>
    <t>👉🏻 Clase 3: https://youtube.com/live/fGHmtkOpr2E?feature=share</t>
  </si>
  <si>
    <t>https://www.youtube.com/watch?v=fGHmtkOpr2E</t>
  </si>
  <si>
    <r>
      <rPr>
        <rFont val="Arial"/>
        <color theme="1"/>
        <sz val="11.0"/>
      </rPr>
      <t xml:space="preserve">👉🏻 Clase 1: </t>
    </r>
    <r>
      <rPr>
        <rFont val="Arial"/>
        <color rgb="FF1155CC"/>
        <sz val="11.0"/>
        <u/>
      </rPr>
      <t>https://youtube.com/live/iNsT-mga0Jk?</t>
    </r>
  </si>
  <si>
    <t>👉🏻 Clase 4: https://youtube.com/live/loHNhtOyWGQ?feature=share</t>
  </si>
  <si>
    <t>https://www.youtube.com/watch?v=loHNhtOyWGQ</t>
  </si>
  <si>
    <t>Procesos clave de la logística interna</t>
  </si>
  <si>
    <t>23- TENDENCIAS 2025-2026: CLAVES DE BIG DATA</t>
  </si>
  <si>
    <t>Diseño y organización del almacén</t>
  </si>
  <si>
    <t>https://youtube.com/live/vHakGwlRd4o?</t>
  </si>
  <si>
    <t>Recepción de mercancías en almacenes</t>
  </si>
  <si>
    <t>https://www.youtube.com/watch?v=vHakGwlRd4o</t>
  </si>
  <si>
    <t>Estrategias de mejora</t>
  </si>
  <si>
    <t>https://youtube.com/live/bqfapBBDPH8?</t>
  </si>
  <si>
    <t>Introducción a big data</t>
  </si>
  <si>
    <t>https://www.youtube.com/watch?v=bqfapBBDPH8</t>
  </si>
  <si>
    <t>Ecosistema de big data</t>
  </si>
  <si>
    <t>Tipos de datos y procesamiento de datos</t>
  </si>
  <si>
    <t>24- BIG DATA: TRANSFORMACIÓN DE DATOS (PYTHON Y R)</t>
  </si>
  <si>
    <t>Sistemas de bases de datos</t>
  </si>
  <si>
    <t>👉🏻 Clase 1: https://youtube.com/live/apRGBH5tLg0?feature=share</t>
  </si>
  <si>
    <t>https://www.youtube.com/watch?v=apRGBH5tLg0</t>
  </si>
  <si>
    <t>Datos estáticos</t>
  </si>
  <si>
    <t>Datos no estructurados</t>
  </si>
  <si>
    <t>👉🏻 Clase 2: https://youtube.com/live/dWSqXshSziY?feature=share</t>
  </si>
  <si>
    <t>https://www.youtube.com/watch?v=dWSqXshSziY</t>
  </si>
  <si>
    <t>Datos geoespaciales</t>
  </si>
  <si>
    <t>👉🏻 Clase 3: https://youtube.com/live/CY1sqGGp4yw?feature=share</t>
  </si>
  <si>
    <t>Ventajas de la captura de datos en big data</t>
  </si>
  <si>
    <t>https://www.youtube.com/watch?v=CY1sqGGp4yw</t>
  </si>
  <si>
    <t>👉🏻 Clase 4: https://youtube.com/live/D0C5UDynUsg?feature=share</t>
  </si>
  <si>
    <t>https://www.youtube.com/watch?v=D0C5UDynUsg</t>
  </si>
  <si>
    <t>Volumen de datos, sostenibilidad en el proceso de datos</t>
  </si>
  <si>
    <t>25- MINERÍA 4.0 ESSENTIALS: NUEVAS HERRAMIENTAS</t>
  </si>
  <si>
    <t>👉🏻 Clase 1: https://youtube.com/live/k5LI3M-_mmI?feature=share</t>
  </si>
  <si>
    <t>https://www.youtube.com/watch?v=k5LI3M-_mmI</t>
  </si>
  <si>
    <t>Integración de IA en el manejo de big data</t>
  </si>
  <si>
    <t>👉🏻 Clase 2: https://youtube.com/live/jkqBPjH-peY?feature=share</t>
  </si>
  <si>
    <t>https://www.youtube.com/watch?v=jkqBPjH-peY</t>
  </si>
  <si>
    <t>👉🏻 Clase 3: https://youtube.com/live/vzYSSY4fSkU?feature=share</t>
  </si>
  <si>
    <t>Introducción y fundamentos</t>
  </si>
  <si>
    <t>https://www.youtube.com/watch?v=vzYSSY4fSkU</t>
  </si>
  <si>
    <t>Manejo y limpieza de datos</t>
  </si>
  <si>
    <t>👉🏻 Clase 4: https://youtube.com/live/58fa1BYLZ4I?feature=share</t>
  </si>
  <si>
    <t>https://www.youtube.com/watch?v=58fa1BYLZ4I</t>
  </si>
  <si>
    <t>Transformación, combinación y fusión de datos</t>
  </si>
  <si>
    <t>26- INNOVACIÓN EN MINERÍA: APLICACIONES DE INTELIGENCIA ARTIFICIAL</t>
  </si>
  <si>
    <t>Visualización de datos</t>
  </si>
  <si>
    <t>👉🏻 Clase 1:https://youtube.com/live/PIdyKVEYGtE?feature=share</t>
  </si>
  <si>
    <t>https://www.youtube.com/watch?v=PIdyKVEYGtE</t>
  </si>
  <si>
    <t>https://youtube.com/live/DoOanHA3LSQ?</t>
  </si>
  <si>
    <t>Beneficios de la minería 4.0</t>
  </si>
  <si>
    <t>https://www.youtube.com/watch?v=DoOanHA3LSQ</t>
  </si>
  <si>
    <t>Desafíos y consideraciones</t>
  </si>
  <si>
    <t>👉🏻 Clase 3: https://youtube.com/live/_86rzleYb-o?feature=share</t>
  </si>
  <si>
    <t>https://www.youtube.com/watch?v=_86rzleYb-o</t>
  </si>
  <si>
    <t>Herramientas de la minería 4.0</t>
  </si>
  <si>
    <t>👉🏻 Clase 4: https://youtube.com/live/EUetwM-YPOc?feature=share</t>
  </si>
  <si>
    <t>https://www.youtube.com/watch?v=EUetwM-YPOc</t>
  </si>
  <si>
    <t>27- AUTOMATIZACIÓN 4.0 EN PROCESOS MINEROS</t>
  </si>
  <si>
    <t>👉🏻 Clase 1: https://youtube.com/live/0ElbNyPBwtM?feature=share</t>
  </si>
  <si>
    <t>https://www.youtube.com/watch?v=0ElbNyPBwtM</t>
  </si>
  <si>
    <t>IA de aprendizaje supervisado en IA</t>
  </si>
  <si>
    <t>👉🏻 Clase 2: https://youtube.com/live/h_TQ1jvN12s?feature=share</t>
  </si>
  <si>
    <t>https://www.youtube.com/watch?v=h_TQ1jvN12s</t>
  </si>
  <si>
    <t>👉🏻 Clase 3: https://youtube.com/live/rbPA4IRapII?feature=share</t>
  </si>
  <si>
    <t>IA geoespacial</t>
  </si>
  <si>
    <t>https://www.youtube.com/watch?v=rbPA4IRapII</t>
  </si>
  <si>
    <t>IA en operaciones remotas</t>
  </si>
  <si>
    <t>👉🏻 Clase 4: https://youtube.com/live/sEjoIrWkxiI?feature=share</t>
  </si>
  <si>
    <t>https://www.youtube.com/watch?v=sEjoIrWkxiI</t>
  </si>
  <si>
    <t>28- CADENA DE SUMINISTRO LOGÍSTICA Y DISTRIBUCIÓN</t>
  </si>
  <si>
    <t>IA en la planificación y gestión minera</t>
  </si>
  <si>
    <t>👉🏻 Clase 1: https://youtube.com/live/gCgiRZk59tw?feature=share</t>
  </si>
  <si>
    <t>https://www.youtube.com/watch?v=gCgiRZk59tw</t>
  </si>
  <si>
    <t>Fundamentos de la automatización 4.0</t>
  </si>
  <si>
    <t>👉🏻 Clase 2: https://youtube.com/live/U9puCgZI0jA?feature=share</t>
  </si>
  <si>
    <t>https://www.youtube.com/watch?v=U9puCgZI0jA</t>
  </si>
  <si>
    <t>Industria 4.0</t>
  </si>
  <si>
    <t>👉🏻 Clase 3: https://youtube.com/live/vkbMBFcq3Kg?feature=share</t>
  </si>
  <si>
    <t>https://www.youtube.com/watch?v=vkbMBFcq3Kg</t>
  </si>
  <si>
    <t>Automatización en los niveles de supervisión</t>
  </si>
  <si>
    <r>
      <rPr>
        <rFont val="Arial"/>
        <color theme="1"/>
        <sz val="11.0"/>
      </rPr>
      <t xml:space="preserve">👉🏻Clase 4; </t>
    </r>
    <r>
      <rPr>
        <rFont val="Arial"/>
        <color rgb="FF1155CC"/>
        <sz val="11.0"/>
        <u/>
      </rPr>
      <t>https://youtube.com/live/TmsPeJtt6-I?feature=share</t>
    </r>
  </si>
  <si>
    <t>Controles en la automatización minera</t>
  </si>
  <si>
    <t>https://www.youtube.com/watch?v=TmsPeJtt6-I</t>
  </si>
  <si>
    <t>29- MEJORA DE LOS MÉTODOS Y MEDICIÓN DE LOS RECURSOS</t>
  </si>
  <si>
    <r>
      <rPr>
        <rFont val="Arial"/>
        <color theme="1"/>
        <sz val="11.0"/>
      </rPr>
      <t xml:space="preserve">👉🏻 Clase 1: </t>
    </r>
    <r>
      <rPr>
        <rFont val="Arial"/>
        <color rgb="FF1155CC"/>
        <sz val="11.0"/>
        <u/>
      </rPr>
      <t>https://youtube.com/live/-J8t1GpTXog?</t>
    </r>
  </si>
  <si>
    <t>Fundamentos de la cadena de suministros</t>
  </si>
  <si>
    <t>https://www.youtube.com/watch?v=-J8t1GpTXog</t>
  </si>
  <si>
    <t>👉🏻 Clase 2: https://youtube.com/live/yFPOkT6G14I?</t>
  </si>
  <si>
    <t>https://www.youtube.com/watch?v=yFPOkT6G14I</t>
  </si>
  <si>
    <t>Gestión de inventarios</t>
  </si>
  <si>
    <t>👉🏻 Clase 3: https://youtube.com/live/kjR39tM2ayw?</t>
  </si>
  <si>
    <t>https://www.youtube.com/watch?v=kjR39tM2ayw</t>
  </si>
  <si>
    <t>Transporte, distribución</t>
  </si>
  <si>
    <r>
      <rPr>
        <rFont val="Arial"/>
        <color theme="1"/>
        <sz val="11.0"/>
      </rPr>
      <t xml:space="preserve">👉🏻Clase 4; </t>
    </r>
    <r>
      <rPr>
        <rFont val="Arial"/>
        <color rgb="FF1155CC"/>
        <sz val="11.0"/>
        <u/>
      </rPr>
      <t>https://youtube.com/live/TmsPeJtt6-I?feature=share</t>
    </r>
  </si>
  <si>
    <t>👉🏻 Clase 4: https://youtube.com/live/ASmOYrJU964?</t>
  </si>
  <si>
    <t>https://www.youtube.com/watch?v=ASmOYrJU964</t>
  </si>
  <si>
    <t>30- INTRODUCCIÓN A LA GESTIÓN DE PROYECTOS</t>
  </si>
  <si>
    <t>Almacenamiento, planificación de la demanda y satisfacción del cliente</t>
  </si>
  <si>
    <t>👉🏻 Clase 1: https://youtube.com/live/DRQa8OGwsCg?feature=share</t>
  </si>
  <si>
    <t>https://www.youtube.com/watch?v=DRQa8OGwsCg</t>
  </si>
  <si>
    <r>
      <rPr>
        <rFont val="Arial"/>
        <color theme="1"/>
        <sz val="11.0"/>
      </rPr>
      <t xml:space="preserve">👉🏻 Clase 1: </t>
    </r>
    <r>
      <rPr>
        <rFont val="Arial"/>
        <color rgb="FF1155CC"/>
        <sz val="11.0"/>
        <u/>
      </rPr>
      <t>https://youtube.com/live/-J8t1GpTXog?</t>
    </r>
  </si>
  <si>
    <r>
      <rPr>
        <rFont val="Arial"/>
        <color theme="1"/>
        <sz val="11.0"/>
      </rPr>
      <t xml:space="preserve">👉🏻 Clase 2: </t>
    </r>
    <r>
      <rPr>
        <rFont val="Arial"/>
        <color rgb="FF1155CC"/>
        <sz val="11.0"/>
        <u/>
      </rPr>
      <t>https://www.youtube.com/live/5QfpFKXkod8?</t>
    </r>
  </si>
  <si>
    <t>Fundamentos en la gestión de operaciones industriales</t>
  </si>
  <si>
    <t>https://www.youtube.com/watch?v=5QfpFKXkod8</t>
  </si>
  <si>
    <t>👉🏻 Clase 3: https://youtube.com/live/GL8EbzyF4ck?feature=share</t>
  </si>
  <si>
    <t>Métodos de mejora de procesos</t>
  </si>
  <si>
    <t>https://www.youtube.com/watch?v=GL8EbzyF4ck</t>
  </si>
  <si>
    <t>👉🏻 Clase 4 https://youtube.com/live/QO3y3kPZzgs?feature=share</t>
  </si>
  <si>
    <t>Integración de la calidad en la gestión de operaciones industriales</t>
  </si>
  <si>
    <t>https://www.youtube.com/watch?v=QO3y3kPZzgs</t>
  </si>
  <si>
    <t>31- ARQUITECTURA DE DATOS: LA IMPORTANCIA DEL DISEÑO, COMPONENTES, FUNCIÓN, CONFIGURACIÓN Y PATRONES</t>
  </si>
  <si>
    <t>Herramientas para la medición de recursos</t>
  </si>
  <si>
    <t>👉🏻 Clase 1: https://youtube.com/live/Sq9R4XgMZCU?feature=share</t>
  </si>
  <si>
    <t>https://www.youtube.com/watch?v=Sq9R4XgMZCU</t>
  </si>
  <si>
    <t>Conceptos de la gestión de proyectos</t>
  </si>
  <si>
    <t>19 de febrero de 2025</t>
  </si>
  <si>
    <t>28 de febrero de 2025</t>
  </si>
  <si>
    <t>1 de marzo de 2025</t>
  </si>
  <si>
    <t>👉🏻 Clase 2: https://youtube.com/live/O51p2hacKno?feature=share</t>
  </si>
  <si>
    <t>https://www.youtube.com/watch?v=O51p2hacKno</t>
  </si>
  <si>
    <r>
      <rPr>
        <rFont val="Arial"/>
        <color theme="1"/>
        <sz val="11.0"/>
      </rPr>
      <t xml:space="preserve">👉🏻 Clase 2: </t>
    </r>
    <r>
      <rPr>
        <rFont val="Arial"/>
        <color rgb="FF1155CC"/>
        <sz val="11.0"/>
        <u/>
      </rPr>
      <t>https://www.youtube.com/live/5QfpFKXkod8?</t>
    </r>
  </si>
  <si>
    <t>👉🏻 Clase 3: https://youtube.com/live/eTGJR9dFGYs?feature=share</t>
  </si>
  <si>
    <t>https://www.youtube.com/watch?v=eTGJR9dFGYs</t>
  </si>
  <si>
    <t>Metodología en la gestión de proyectos</t>
  </si>
  <si>
    <t>👉🏻 Clase 4: https://youtube.com/live/q3mJ97iNiU0?feature=share</t>
  </si>
  <si>
    <t>https://www.youtube.com/watch?v=q3mJ97iNiU0</t>
  </si>
  <si>
    <t>32- ECOSISTEMA BIG DATA: HERRAMIENTAS Y TECNOLOGÍAS ESENCIALES</t>
  </si>
  <si>
    <t>Herramientas y técnicas en la gestión de proyectos</t>
  </si>
  <si>
    <t>👉🏻 Clase 1: https://youtube.com/live/j-4sVmTg4Bg?feature=share</t>
  </si>
  <si>
    <t>https://www.youtube.com/watch?v=j-4sVmTg4Bg</t>
  </si>
  <si>
    <t>Gestión de riesgos</t>
  </si>
  <si>
    <t>18 de febrero de 2025</t>
  </si>
  <si>
    <t>27 de febrero de 2025</t>
  </si>
  <si>
    <t>👉🏻 Clase 2: https://youtube.com/live/5TkpFvGchEM?feature=share</t>
  </si>
  <si>
    <t>https://www.youtube.com/watch?v=5TkpFvGchEM</t>
  </si>
  <si>
    <t>👉🏻 Clase 3: https://youtube.com/live/vthtLc8S5Lk?feature=share</t>
  </si>
  <si>
    <t>https://www.youtube.com/watch?v=vthtLc8S5Lk</t>
  </si>
  <si>
    <t>Importancia del diseño de la arquitectura de datos</t>
  </si>
  <si>
    <t>👉🏻 Clase 4: https://youtube.com/live/ypqvFWMQgHU?feature=share</t>
  </si>
  <si>
    <t>https://www.youtube.com/watch?v=ypqvFWMQgHU</t>
  </si>
  <si>
    <t>33- INTRODUCCIÓN A MACHINE LEARNING PARA BIG DATA</t>
  </si>
  <si>
    <t>Componentes de datos</t>
  </si>
  <si>
    <t>Función de la arquitectura de datos</t>
  </si>
  <si>
    <t>https://youtube.com/live/pRsYzX1HU68?</t>
  </si>
  <si>
    <t>https://www.youtube.com/watch?v=pRsYzX1HU68</t>
  </si>
  <si>
    <t>Configuración y patrones de arquitectura de datos</t>
  </si>
  <si>
    <t>https://youtube.com/live/cvNbOE_UfuU?</t>
  </si>
  <si>
    <t>https://www.youtube.com/watch?v=cvNbOE_UfuU</t>
  </si>
  <si>
    <t>Introducción al ecosistema de big data</t>
  </si>
  <si>
    <t>https://youtube.com/live/m7zFyn-BtKs?</t>
  </si>
  <si>
    <t>https://www.youtube.com/watch?v=m7zFyn-BtKs</t>
  </si>
  <si>
    <t>Herramientas y tecnologías esenciales en ecosistema big data</t>
  </si>
  <si>
    <t>https://youtube.com/live/l1PKRWjuX98?</t>
  </si>
  <si>
    <t>https://www.youtube.com/watch?v=l1PKRWjuX98</t>
  </si>
  <si>
    <t>Procesamiento y análisis de datos</t>
  </si>
  <si>
    <t>34- PROYECTOS CON HERRAMIENTAS DIGITALES PARA MINERÍA</t>
  </si>
  <si>
    <t>Ecosistema big data</t>
  </si>
  <si>
    <t>👉🏻 Clase 1: https://youtube.com/live/SlSMOt9WP5s?feature=share</t>
  </si>
  <si>
    <t>https://www.youtube.com/watch?v=SlSMOt9WP5s</t>
  </si>
  <si>
    <t>👉🏻 Clase 2: https://youtube.com/live/LFiqv1kn2rA?feature=share</t>
  </si>
  <si>
    <t>https://www.youtube.com/watch?v=LFiqv1kn2rA</t>
  </si>
  <si>
    <t>Fundamentos de machine learning (ML)</t>
  </si>
  <si>
    <t>👉🏻 Clase 3: https://youtube.com/live/gUL83cHJnCM?feature=share</t>
  </si>
  <si>
    <t>https://www.youtube.com/watch?v=gUL83cHJnCM</t>
  </si>
  <si>
    <t>👉🏻 Clase 4: https://youtube.com/live/ColOytJoFSM?feature=share</t>
  </si>
  <si>
    <t>https://www.youtube.com/watch?v=ColOytJoFSM</t>
  </si>
  <si>
    <t>Big data en machine learning</t>
  </si>
  <si>
    <t>35- INTRODUCCIÓN A MACHINE LEARNING EN MINERÍA</t>
  </si>
  <si>
    <t>No subir</t>
  </si>
  <si>
    <t>👉🏻 Clase 1: https://www.youtube.com/watch?v=pRsYzX1HU68</t>
  </si>
  <si>
    <t>👉🏻 Clase 2: https://youtube.com/live/E-csFjxgpCU?feature=share</t>
  </si>
  <si>
    <t>Herramientas y tecnología de machine learning para big data</t>
  </si>
  <si>
    <t>https://www.youtube.com/watch?v=E-csFjxgpCU</t>
  </si>
  <si>
    <t>Procesamiento de datos para machine learning en big data</t>
  </si>
  <si>
    <t xml:space="preserve">👉🏻 Clase 4: https://youtube.com/live/l1PKRWjuX98?feature=share </t>
  </si>
  <si>
    <t>36- TIPOS DE INTELIGENCIA ARTIFICIAL APLICADAS A LA MINERÍA</t>
  </si>
  <si>
    <t>👉🏻 Clase 1: https://youtube.com/live/UB05S62ivEA?feature=share</t>
  </si>
  <si>
    <t>https://www.youtube.com/watch?v=UB05S62ivEA</t>
  </si>
  <si>
    <t>Herramientas de gestión de proyectos mineros</t>
  </si>
  <si>
    <t>👉🏻 Clase 2: https://youtube.com/live/qYuBFG0ohv4?feature=share</t>
  </si>
  <si>
    <t>https://www.youtube.com/watch?v=qYuBFG0ohv4</t>
  </si>
  <si>
    <t>Tecnologías de monitoreo en tiempo real</t>
  </si>
  <si>
    <t>👉🏻 Clase 3: https://youtube.com/live/wFfzwVJzat8?feature=share</t>
  </si>
  <si>
    <t>https://www.youtube.com/watch?v=wFfzwVJzat8</t>
  </si>
  <si>
    <t>Uso de drones en minería</t>
  </si>
  <si>
    <t>37- HERRAMIENTAS DE BIG DATA APLICADA A MINERÍA</t>
  </si>
  <si>
    <t>Software de modelado geológico y simulación</t>
  </si>
  <si>
    <t>https://youtube.com/live/Guf9n2TbwXI?</t>
  </si>
  <si>
    <t>https://www.youtube.com/watch?v=Guf9n2TbwXI</t>
  </si>
  <si>
    <t>https://youtube.com/live/dhyD_UoqH1U?</t>
  </si>
  <si>
    <t>https://www.youtube.com/watch?v=dhyD_UoqH1U</t>
  </si>
  <si>
    <t>38- GESTIÓN AVANZADA DE OPERACIONES INDUSTRIALES</t>
  </si>
  <si>
    <r>
      <rPr>
        <rFont val="Arial"/>
        <color theme="1"/>
        <sz val="11.0"/>
      </rPr>
      <t xml:space="preserve">👉🏻 Clase 1: </t>
    </r>
    <r>
      <rPr>
        <rFont val="Arial"/>
        <color rgb="FF1155CC"/>
        <sz val="11.0"/>
        <u/>
      </rPr>
      <t>https://youtube.com/live/Tf_8cAbgV_Q?</t>
    </r>
  </si>
  <si>
    <t>Aprendizaje supervisado en minería</t>
  </si>
  <si>
    <t>https://www.youtube.com/watch?v=Tf_8cAbgV_Q</t>
  </si>
  <si>
    <t>👉🏻 Clase 2: https://youtube.com/live/9kCOepysZo0?</t>
  </si>
  <si>
    <t>IA aplicada</t>
  </si>
  <si>
    <t>https://www.youtube.com/watch?v=9kCOepysZo0</t>
  </si>
  <si>
    <t>👉🏻 Clase 3: https://youtube.com/live/uWBJbS-Vz4M?</t>
  </si>
  <si>
    <t>https://www.youtube.com/watch?v=uWBJbS-Vz4M</t>
  </si>
  <si>
    <t>👉🏻 Clase 4: https://youtube.com/live/sGOn3YPoMJw?feature=share</t>
  </si>
  <si>
    <t>https://www.youtube.com/watch?v=sGOn3YPoMJw</t>
  </si>
  <si>
    <t>39- BIG DATA APLICADA A PROCESOS INDUSTRIALES</t>
  </si>
  <si>
    <r>
      <rPr>
        <rFont val="Arial"/>
        <color theme="1"/>
        <sz val="11.0"/>
      </rPr>
      <t xml:space="preserve">👉🏻 Clase 1: </t>
    </r>
    <r>
      <rPr>
        <rFont val="Arial"/>
        <color rgb="FF1155CC"/>
        <sz val="11.0"/>
        <u/>
      </rPr>
      <t>https://youtube.com/live/Tf_8cAbgV_Q?</t>
    </r>
  </si>
  <si>
    <t>Plataformas de gestión de datos para minería</t>
  </si>
  <si>
    <t>40- CONTROL DE COSTOS EN PRODUCCIÓN INDUSTRIAL O EN ÁREAS DE PRODUCCIÓN</t>
  </si>
  <si>
    <t>👉🏻 Clase 1: https://youtube.com/live/oBuVgNIC1Gk?feature=share</t>
  </si>
  <si>
    <t>https://www.youtube.com/watch?v=oBuVgNIC1Gk</t>
  </si>
  <si>
    <t>Herramientas de big data para la cadena de suministro en minería</t>
  </si>
  <si>
    <t>👉🏻 Clase 2: https://youtube.com/live/1hCY_IUCXzc?feature=share</t>
  </si>
  <si>
    <t>https://www.youtube.com/watch?v=1hCY_IUCXzc</t>
  </si>
  <si>
    <t>👉🏻 Clase 3: https://youtube.com/live/2CmWw6IXfPc?feature=share</t>
  </si>
  <si>
    <t>https://www.youtube.com/watch?v=2CmWw6IXfPc</t>
  </si>
  <si>
    <r>
      <rPr>
        <rFont val="Arial"/>
        <color theme="1"/>
        <sz val="11.0"/>
      </rPr>
      <t xml:space="preserve">👉🏻 Clase 1: </t>
    </r>
    <r>
      <rPr>
        <rFont val="Arial"/>
        <color rgb="FF1155CC"/>
        <sz val="11.0"/>
        <u/>
      </rPr>
      <t>https://youtube.com/live/Tf_8cAbgV_Q?</t>
    </r>
  </si>
  <si>
    <t>👉🏻 Clase 4: https://youtube.com/live/dTsO9XHFhuY?feature=share</t>
  </si>
  <si>
    <t>https://www.youtube.com/watch?v=dTsO9XHFhuY</t>
  </si>
  <si>
    <t>41- IMPORTACIÓN Y EXPORTACIÓN DESDE 0: CLAVES PARA EL ÉXITO</t>
  </si>
  <si>
    <r>
      <rPr>
        <rFont val="Arial"/>
        <color theme="1"/>
        <sz val="11.0"/>
      </rPr>
      <t xml:space="preserve">👉🏻 Clase 1: </t>
    </r>
    <r>
      <rPr>
        <rFont val="Arial"/>
        <color rgb="FF1155CC"/>
        <sz val="11.0"/>
        <u/>
      </rPr>
      <t>https://youtube.com/live/e7kJA_0GDJ4?</t>
    </r>
  </si>
  <si>
    <t>Automatización industrial</t>
  </si>
  <si>
    <t>https://www.youtube.com/watch?v=e7kJA_0GDJ4</t>
  </si>
  <si>
    <t>5 de marzo de 2025</t>
  </si>
  <si>
    <t>14 de marzo de 2025</t>
  </si>
  <si>
    <t>15 de marzo de 2025</t>
  </si>
  <si>
    <t>Optimización de la producción</t>
  </si>
  <si>
    <r>
      <rPr>
        <rFont val="Arial"/>
        <color theme="1"/>
        <sz val="11.0"/>
      </rPr>
      <t xml:space="preserve">👉🏻 Clase 2: </t>
    </r>
    <r>
      <rPr>
        <rFont val="Arial"/>
        <color rgb="FF1155CC"/>
        <sz val="11.0"/>
        <u/>
      </rPr>
      <t>https://youtube.com/live/-nNdpfMN2Vg?</t>
    </r>
  </si>
  <si>
    <t>https://www.youtube.com/watch?v=-nNdpfMN2Vg</t>
  </si>
  <si>
    <t>Planificación y programación avanzada de la producción (APS)</t>
  </si>
  <si>
    <t>👉🏻 Clase 3: https://youtube.com/live/3oXKrXXkfaA?</t>
  </si>
  <si>
    <t>https://www.youtube.com/watch?v=3oXKrXXkfaA</t>
  </si>
  <si>
    <t>Gestión de riesgos en las operaciones industriales</t>
  </si>
  <si>
    <t>👉🏻 Clase 4: https://youtube.com/live/Cv_RlmqXSZk?</t>
  </si>
  <si>
    <t>https://www.youtube.com/watch?v=Cv_RlmqXSZk</t>
  </si>
  <si>
    <t xml:space="preserve">42- IMPLEMENTACIÓN DE LA NORMA ISO 9001:2015
</t>
  </si>
  <si>
    <r>
      <rPr>
        <rFont val="Arial"/>
        <color theme="1"/>
        <sz val="11.0"/>
      </rPr>
      <t xml:space="preserve">👉🏻 Clase 1: </t>
    </r>
    <r>
      <rPr>
        <rFont val="Arial"/>
        <color rgb="FF1155CC"/>
        <sz val="11.0"/>
        <u/>
      </rPr>
      <t>https://youtube.com/live/Tf_8cAbgV_Q?</t>
    </r>
  </si>
  <si>
    <t>👉🏻 Clase 1: https://youtube.com/live/hmEevJCvEyQ?feature=share</t>
  </si>
  <si>
    <t>https://www.youtube.com/watch?v=hmEevJCvEyQ</t>
  </si>
  <si>
    <t>4 de marzo de 2025</t>
  </si>
  <si>
    <t>13 de marzo de 2025</t>
  </si>
  <si>
    <t>👉🏻 Clase 2: https://youtube.com/live/izrq5fGiM28?feature=share</t>
  </si>
  <si>
    <t>https://www.youtube.com/watch?v=izrq5fGiM28</t>
  </si>
  <si>
    <t>👉🏻 Clase 3: https://youtube.com/live/z9TnWuNNVjY?feature=share</t>
  </si>
  <si>
    <t>https://www.youtube.com/watch?v=z9TnWuNNVjY</t>
  </si>
  <si>
    <t>👉🏻 Clase 4: https://youtube.com/live/2cN7a5yrktM?feature=share</t>
  </si>
  <si>
    <t>https://www.youtube.com/watch?v=2cN7a5yrktM</t>
  </si>
  <si>
    <t>43- ANÁLISIS DE MERCADOS INTERNACIONALES: ESTRATEGIAS DE IMPORTACIÓN Y EXPORTACIÓN 2025-2026</t>
  </si>
  <si>
    <t>👉🏻 Clase 1: https://youtube.com/live/pr5NN0hn5ww?feature=share</t>
  </si>
  <si>
    <t>Clasificación de costos en la producción industrial</t>
  </si>
  <si>
    <t>https://www.youtube.com/watch?v=pr5NN0hn5ww</t>
  </si>
  <si>
    <t>👉🏻 Clase 2: https://youtube.com/live/1b4z9bkAack?feature=share</t>
  </si>
  <si>
    <t>https://www.youtube.com/watch?v=1b4z9bkAack</t>
  </si>
  <si>
    <t>👉🏻 Clase 3: https://youtube.com/live/EMoNdLRn4Ns?feature=share</t>
  </si>
  <si>
    <t>Presupuestación de costos de producción</t>
  </si>
  <si>
    <t>https://www.youtube.com/watch?v=EMoNdLRn4Ns</t>
  </si>
  <si>
    <t>👉🏻 Clase 4: https://youtube.com/live/NnSKpz6Itq0?feature=share</t>
  </si>
  <si>
    <t>https://www.youtube.com/watch?v=NnSKpz6Itq0</t>
  </si>
  <si>
    <t>44- DE LA IMPORTACIÓN A LA VENTA ONLINE: IMPLEMENTA TU TIENDA VIRTUAL DESDE CERO</t>
  </si>
  <si>
    <t>Control de inventarios</t>
  </si>
  <si>
    <t>👉🏻 Clase 1: https://youtube.com/live/u3T1y77D1mE?feature=share</t>
  </si>
  <si>
    <t>https://www.youtube.com/watch?v=u3T1y77D1mE</t>
  </si>
  <si>
    <t>Análisis de productividad y eficiencia</t>
  </si>
  <si>
    <t>👉🏻 Clase 2: https://youtube.com/live/r4dLVZh7oi8?feature=share</t>
  </si>
  <si>
    <t>https://www.youtube.com/watch?v=r4dLVZh7oi8</t>
  </si>
  <si>
    <t>👉🏻 Clase 3: https://youtube.com/live/0Yni3p0o1_8?feature=share</t>
  </si>
  <si>
    <t>https://www.youtube.com/watch?v=0Yni3p0o1_8</t>
  </si>
  <si>
    <t>👉🏻 Clase 4: https://youtube.com/live/_9ZYtXAN_Fo?feature=share</t>
  </si>
  <si>
    <r>
      <rPr>
        <rFont val="Arial"/>
        <color theme="1"/>
        <sz val="11.0"/>
      </rPr>
      <t xml:space="preserve">👉🏻 Clase 1: </t>
    </r>
    <r>
      <rPr>
        <rFont val="Arial"/>
        <color rgb="FF1155CC"/>
        <sz val="11.0"/>
        <u/>
      </rPr>
      <t>https://youtube.com/live/e7kJA_0GDJ4?</t>
    </r>
  </si>
  <si>
    <t>https://www.youtube.com/watch?v=_9ZYtXAN_Fo</t>
  </si>
  <si>
    <t>45- CONTROL Y SUPERVISIÓN DE PROCESOS CON SOFTWARE SCADA</t>
  </si>
  <si>
    <t>Fundamentos de la importación y exportación</t>
  </si>
  <si>
    <t>👉🏻 Clase 1: https://youtube.com/live/L60EirO0BZo?feature=share</t>
  </si>
  <si>
    <t>https://www.youtube.com/watch?v=L60EirO0BZo</t>
  </si>
  <si>
    <t>👉🏻 Clase 2: https://youtube.com/live/EU6VnAfIiJw?feature=share</t>
  </si>
  <si>
    <t>https://www.youtube.com/watch?v=EU6VnAfIiJw</t>
  </si>
  <si>
    <r>
      <rPr>
        <rFont val="Arial"/>
        <color theme="1"/>
        <sz val="11.0"/>
      </rPr>
      <t xml:space="preserve">👉🏻 Clase 2: </t>
    </r>
    <r>
      <rPr>
        <rFont val="Arial"/>
        <color rgb="FF1155CC"/>
        <sz val="11.0"/>
        <u/>
      </rPr>
      <t>https://youtube.com/live/-nNdpfMN2Vg?</t>
    </r>
  </si>
  <si>
    <t>👉🏻 Clase 3: https://youtube.com/live/DqKQ0hY2wmA?feature=share</t>
  </si>
  <si>
    <t>https://www.youtube.com/watch?v=DqKQ0hY2wmA</t>
  </si>
  <si>
    <t>👉🏻 Clase 4: https://youtube.com/live/kafa4hfjkaY?feature=share</t>
  </si>
  <si>
    <t>https://www.youtube.com/watch?v=kafa4hfjkaY</t>
  </si>
  <si>
    <t>Comercio internacional: incoterms y finanzas</t>
  </si>
  <si>
    <t>46- GESTIÓN DE OPERACIONES Y PROCESOS EN LA MINERÍA</t>
  </si>
  <si>
    <t>Innovación y herramientas en el comercio internacional</t>
  </si>
  <si>
    <t>👉🏻 Clase 1: https://youtube.com/live/sAjv8SsYdYQ?feature=share</t>
  </si>
  <si>
    <t>https://www.youtube.com/watch?v=sAjv8SsYdYQ</t>
  </si>
  <si>
    <t>👉🏻 Clase 2: https://youtube.com/live/4OhWNU40hqE?feature=share</t>
  </si>
  <si>
    <t>https://www.youtube.com/watch?v=4OhWNU40hqE</t>
  </si>
  <si>
    <t>Networking internacional: estrategias para el éxito</t>
  </si>
  <si>
    <t>👉🏻 Clase 3: https://youtube.com/live/h9iOVLt3jLI?feature=share</t>
  </si>
  <si>
    <t>https://www.youtube.com/watch?v=h9iOVLt3jLI</t>
  </si>
  <si>
    <t>👉🏻 Clase 4: https://youtube.com/live/IbGloENJvgw?feature=share</t>
  </si>
  <si>
    <t>https://www.youtube.com/watch?v=IbGloENJvgw</t>
  </si>
  <si>
    <t>47- PIRÁMIDE DE PROCESOS: TÉCNICAS DE CONTROL EN MINERÍA</t>
  </si>
  <si>
    <t>Contexto de la organización y liderazgo</t>
  </si>
  <si>
    <t>👉🏻 Clase 1:https://youtube.com/live/dbwp_nmBYWk?feature=share</t>
  </si>
  <si>
    <t>https://www.youtube.com/watch?v=dbwp_nmBYWk</t>
  </si>
  <si>
    <t>👉🏻 Clase 2: https://youtube.com/live/r8Tpp4XEuuc?feature=share</t>
  </si>
  <si>
    <t>https://www.youtube.com/watch?v=r8Tpp4XEuuc</t>
  </si>
  <si>
    <t>Planificación y gestión de riesgos</t>
  </si>
  <si>
    <t>👉🏻 Clase 3: https://youtube.com/live/OVcI4-VLfFs?feature=share</t>
  </si>
  <si>
    <t>https://www.youtube.com/watch?v=OVcI4-VLfFs</t>
  </si>
  <si>
    <t>Monitoreo, medición y mejora continua</t>
  </si>
  <si>
    <t>👉🏻 Clase 4: https://youtube.com/live/RLMviTPK33o?feature=share</t>
  </si>
  <si>
    <t>https://www.youtube.com/watch?v=RLMviTPK33o</t>
  </si>
  <si>
    <t>48- PROCESO DE OPTIMIZACIÓN DEL MANTENIMIENTOS A PARTIR DEL USO DE TÉCNICAS DE LA INDUSTRIA 4.0</t>
  </si>
  <si>
    <t>Auditorías internas en ISO 9001:2015</t>
  </si>
  <si>
    <r>
      <rPr>
        <rFont val="Arial"/>
        <color theme="1"/>
        <sz val="11.0"/>
      </rPr>
      <t xml:space="preserve">👉🏻 Clase 1: </t>
    </r>
    <r>
      <rPr>
        <rFont val="Arial"/>
        <color rgb="FF1155CC"/>
        <sz val="11.0"/>
        <u/>
      </rPr>
      <t>https://youtube.com/live/4Kpqdz8Nrnk?</t>
    </r>
  </si>
  <si>
    <t>https://www.youtube.com/watch?v=4Kpqdz8Nrnk</t>
  </si>
  <si>
    <t>Investigación de mercado</t>
  </si>
  <si>
    <t>👉🏻 Clase 2: https://youtube.com/live/hxP4e5ibcwA?</t>
  </si>
  <si>
    <t>https://www.youtube.com/watch?v=hxP4e5ibcwA</t>
  </si>
  <si>
    <t>Estrategias y herramientas en la evaluación de la demanda</t>
  </si>
  <si>
    <t>👉🏻 Clase 3: https://youtube.com/live/cMNjuR9axxI?</t>
  </si>
  <si>
    <t>https://www.youtube.com/watch?v=cMNjuR9axxI</t>
  </si>
  <si>
    <t>Innovación tecnológica en el análisis de mercado</t>
  </si>
  <si>
    <t>👉🏻 Clase 4: https://youtube.com/live/ag4TFSMV1KQ?</t>
  </si>
  <si>
    <t>https://www.youtube.com/watch?v=ag4TFSMV1KQ</t>
  </si>
  <si>
    <t>Claves en el proceso de investigación de mercado</t>
  </si>
  <si>
    <t>49- SISTEMAS INTEGRADOS PARA LA GESTIÓN DE MANTENIMIENTO</t>
  </si>
  <si>
    <r>
      <rPr>
        <rFont val="Arial"/>
        <color theme="1"/>
        <sz val="11.0"/>
      </rPr>
      <t xml:space="preserve">👉🏻 Clase 1: </t>
    </r>
    <r>
      <rPr>
        <rFont val="Arial"/>
        <color rgb="FF1155CC"/>
        <sz val="11.0"/>
        <u/>
      </rPr>
      <t>https://youtube.com/live/HqH0V36anrM?feature=share</t>
    </r>
  </si>
  <si>
    <t>https://www.youtube.com/watch?v=HqH0V36anrM</t>
  </si>
  <si>
    <t>Fundamentos de la investigación y planificación</t>
  </si>
  <si>
    <t>👉🏻 Clase 2: https://youtube.com/live/Ipo2ozYYxTI?feature=share</t>
  </si>
  <si>
    <t>https://www.youtube.com/watch?v=Ipo2ozYYxTI</t>
  </si>
  <si>
    <t>Creación de la tienda virtual</t>
  </si>
  <si>
    <r>
      <rPr>
        <rFont val="Arial"/>
        <color theme="1"/>
        <sz val="11.0"/>
      </rPr>
      <t xml:space="preserve">👉🏻 Clase 3: </t>
    </r>
    <r>
      <rPr>
        <rFont val="Arial"/>
        <color rgb="FF1155CC"/>
        <sz val="11.0"/>
        <u/>
      </rPr>
      <t>https://youtube.com/live/6d8l7sW5AQA?feature=share</t>
    </r>
  </si>
  <si>
    <t>https://www.youtube.com/watch?v=6d8l7sW5AQA</t>
  </si>
  <si>
    <t>Lanzamiento y optimización de tiendas virtuales</t>
  </si>
  <si>
    <t>👉🏻 Clase 4: https://youtube.com/live/eVnHbhhQJkI?feature=share</t>
  </si>
  <si>
    <t>https://www.youtube.com/watch?v=eVnHbhhQJkI</t>
  </si>
  <si>
    <t>Servicio al cliente y posventa</t>
  </si>
  <si>
    <t>50- ESTÁNDARES Y SISTEMA DE CALIDAD DEL MANTENIMIENTO</t>
  </si>
  <si>
    <t>👉🏻 Clase 1 y 2: https://youtube.com/live/RNWy1Iqjy4U?feature=share</t>
  </si>
  <si>
    <t>https://www.youtube.com/watch?v=RNWy1Iqjy4U</t>
  </si>
  <si>
    <t>Fundamentos del software SCADA</t>
  </si>
  <si>
    <r>
      <rPr>
        <rFont val="Arial"/>
        <color theme="1"/>
        <sz val="11.0"/>
      </rPr>
      <t xml:space="preserve">👉🏻 Clase 3: </t>
    </r>
    <r>
      <rPr>
        <rFont val="Arial"/>
        <color rgb="FF1155CC"/>
        <sz val="11.0"/>
        <u/>
      </rPr>
      <t>https://youtube.com/live/DJpYHQkhy_A?feature=share</t>
    </r>
  </si>
  <si>
    <t>https://www.youtube.com/watch?v=DJpYHQkhy_A</t>
  </si>
  <si>
    <t>Aplicaciones del software SCADA en la industria minera</t>
  </si>
  <si>
    <r>
      <rPr>
        <rFont val="Arial"/>
        <color theme="1"/>
        <sz val="11.0"/>
      </rPr>
      <t xml:space="preserve">👉🏻 Clase 4: </t>
    </r>
    <r>
      <rPr>
        <rFont val="Arial"/>
        <color rgb="FF1155CC"/>
        <sz val="11.0"/>
        <u/>
      </rPr>
      <t>https://youtube.com/live/4B16cOWl0Ws?</t>
    </r>
  </si>
  <si>
    <t>https://www.youtube.com/watch?v=4B16cOWl0Ws</t>
  </si>
  <si>
    <t>Creación y personalización de aplicaciones SCADA</t>
  </si>
  <si>
    <t>51- DOCUMENTACIÓN Y TRÁMITES ADUANEROS</t>
  </si>
  <si>
    <r>
      <rPr>
        <rFont val="Arial"/>
        <color theme="1"/>
        <sz val="11.0"/>
      </rPr>
      <t xml:space="preserve">👉🏻 Clase 1: </t>
    </r>
    <r>
      <rPr>
        <rFont val="Arial"/>
        <color rgb="FF1155CC"/>
        <sz val="11.0"/>
        <u/>
      </rPr>
      <t>https://youtube.com/live/PvFPYZou8-g?</t>
    </r>
  </si>
  <si>
    <t>https://www.youtube.com/watch?v=PvFPYZou8-g</t>
  </si>
  <si>
    <t>Fundamentos de la gestión de operaciones mineras</t>
  </si>
  <si>
    <t>19 de marzo de 2025</t>
  </si>
  <si>
    <t>28 de marzo de 2025</t>
  </si>
  <si>
    <t>29 de marzo de 2025</t>
  </si>
  <si>
    <t>👉🏻 Clase 2: https://youtube.com/live/MAy_-7UKQKI?</t>
  </si>
  <si>
    <t>https://www.youtube.com/watch?v=MAy_-7UKQKI</t>
  </si>
  <si>
    <t>Estrategias avanzadas en planificación de operaciones mineras</t>
  </si>
  <si>
    <t>👉🏻 Clase 3: https://youtube.com/live/HXX6l6MavAE?</t>
  </si>
  <si>
    <t>https://www.youtube.com/watch?v=HXX6l6MavAE</t>
  </si>
  <si>
    <t>👉🏻 Clase 4: https://youtube.com/live/Xyo9Znb6iP4?</t>
  </si>
  <si>
    <t>Puntos clave en la planificación estratégica en la gestión de operaciones</t>
  </si>
  <si>
    <t>https://www.youtube.com/watch?v=Xyo9Znb6iP4</t>
  </si>
  <si>
    <t>52- REVISIÓN DE PROVEEDORES PARA EVITAR ESTAFAS EN IMPORTACIONES CHINAS</t>
  </si>
  <si>
    <t>Claves en la planificación de procesos mineros</t>
  </si>
  <si>
    <t>👉🏻 Clase 1: https://youtube.com/live/jowPe8soOHI?feature=share</t>
  </si>
  <si>
    <t>https://www.youtube.com/watch?v=jowPe8soOHI</t>
  </si>
  <si>
    <t>👉🏻 Clase 2: https://youtube.com/live/ubqOmwBq9D4?feature=share</t>
  </si>
  <si>
    <t>Controladores en la industria minera</t>
  </si>
  <si>
    <t>https://www.youtube.com/watch?v=ubqOmwBq9D4</t>
  </si>
  <si>
    <t>👉🏻 Clase 3: https://youtube.com/live/_upwR4wVXrE?feature=share</t>
  </si>
  <si>
    <t>https://www.youtube.com/watch?v=_upwR4wVXrE</t>
  </si>
  <si>
    <t>Pirámide de procesos en minería</t>
  </si>
  <si>
    <t>👉🏻 Clase 4: https://youtube.com/live/1xk5ezPw1Eg?feature=share</t>
  </si>
  <si>
    <t>https://www.youtube.com/watch?v=1xk5ezPw1Eg</t>
  </si>
  <si>
    <t>Controladores lógicos programables (PLC)</t>
  </si>
  <si>
    <t>53- PLANIFICACIÓN DE RIESGOS PARA IMPORTACIÓN Y EXPORTACIÓN</t>
  </si>
  <si>
    <t>Controladores PID (Proporcional-Integral-Derivativo)</t>
  </si>
  <si>
    <t>👉🏻 Clase 1: https://youtube.com/live/YazKLBF-B6c?feature=share</t>
  </si>
  <si>
    <t>https://www.youtube.com/watch?v=YazKLBF-B6c</t>
  </si>
  <si>
    <t>48- PROCESO DE OPTIMIZACIÓN DEL MANTENIMIENTO A PARTIR DEL USO DE TÉCNICAS DE LA INDUSTRIA 4.0</t>
  </si>
  <si>
    <t>👉🏻 Clase 2: https://youtube.com/live/kEV7rBs1oSw?feature=share</t>
  </si>
  <si>
    <r>
      <rPr>
        <rFont val="Arial"/>
        <color theme="1"/>
        <sz val="11.0"/>
      </rPr>
      <t xml:space="preserve">👉🏻 Clase 1: </t>
    </r>
    <r>
      <rPr>
        <rFont val="Arial"/>
        <color rgb="FF1155CC"/>
        <sz val="11.0"/>
        <u/>
      </rPr>
      <t>https://youtube.com/live/4Kpqdz8Nrnk?</t>
    </r>
  </si>
  <si>
    <t>https://www.youtube.com/watch?v=kEV7rBs1oSw</t>
  </si>
  <si>
    <t>👉🏻 Clase 3: https://youtube.com/live/5d8QoNhWdcE?feature=share</t>
  </si>
  <si>
    <t>https://www.youtube.com/watch?v=5d8QoNhWdcE</t>
  </si>
  <si>
    <t>Fundamentos</t>
  </si>
  <si>
    <t>👉🏻 Clase 4: https://youtube.com/live/WTVLLcJ_EmY?feature=share</t>
  </si>
  <si>
    <t>https://www.youtube.com/watch?v=WTVLLcJ_EmY</t>
  </si>
  <si>
    <t>Análisis de datos y diagnóstico predictivo</t>
  </si>
  <si>
    <t>54- CONTROL DE CALIDAD EN PROCESOS MINEROS</t>
  </si>
  <si>
    <t>Mantenimiento predictivo</t>
  </si>
  <si>
    <t>👉🏻 Clase 1: https://youtube.com/live/8HNkh1_ur08?feature=share</t>
  </si>
  <si>
    <t>https://www.youtube.com/watch?v=8HNkh1_ur08</t>
  </si>
  <si>
    <t>18 de marzo de 2025</t>
  </si>
  <si>
    <t>27 de marzo de 2025</t>
  </si>
  <si>
    <t>Automatización del mantenimiento</t>
  </si>
  <si>
    <t>👉🏻 Clase 2: https://youtube.com/live/g8BtcRFryq4?feature=share</t>
  </si>
  <si>
    <t>https://www.youtube.com/watch?v=g8BtcRFryq4</t>
  </si>
  <si>
    <t>👉🏻 Clase 3: https://youtube.com/live/N2dw5g-MX6U?feature=share</t>
  </si>
  <si>
    <t>https://www.youtube.com/watch?v=N2dw5g-MX6U</t>
  </si>
  <si>
    <r>
      <rPr>
        <rFont val="Arial"/>
        <color theme="1"/>
        <sz val="11.0"/>
      </rPr>
      <t xml:space="preserve">👉🏻 Clase 1: </t>
    </r>
    <r>
      <rPr>
        <rFont val="Arial"/>
        <color rgb="FF1155CC"/>
        <sz val="11.0"/>
        <u/>
      </rPr>
      <t>https://youtube.com/live/HqH0V36anrM?feature=share</t>
    </r>
  </si>
  <si>
    <t>👉🏻 Clase 4: https://youtube.com/live/64mH22Iho8g?feature=share</t>
  </si>
  <si>
    <t>https://www.youtube.com/watch?v=64mH22Iho8g</t>
  </si>
  <si>
    <t>Introducción a la gestión del mantenimiento</t>
  </si>
  <si>
    <t>55- MONITOREO Y CONTROL EN LA OPERACIÓN DE PLANTAS MINERAS</t>
  </si>
  <si>
    <t>Implementación de un sistema integrado de gestión del mantenimiento</t>
  </si>
  <si>
    <t>👉🏻 Clase 1: https://youtube.com/live/2cqmD4ObYew?</t>
  </si>
  <si>
    <r>
      <rPr>
        <rFont val="Arial"/>
        <color theme="1"/>
        <sz val="11.0"/>
      </rPr>
      <t xml:space="preserve">👉🏻 Clase 3: </t>
    </r>
    <r>
      <rPr>
        <rFont val="Arial"/>
        <color rgb="FF1155CC"/>
        <sz val="11.0"/>
        <u/>
      </rPr>
      <t>https://youtube.com/live/6d8l7sW5AQA?feature=share</t>
    </r>
  </si>
  <si>
    <t>https://www.youtube.com/watch?v=2cqmD4ObYew</t>
  </si>
  <si>
    <t>👉🏻 Clase 2: https://youtube.com/live/zvauzjKvnM0?</t>
  </si>
  <si>
    <t>https://www.youtube.com/watch?v=zvauzjKvnM0</t>
  </si>
  <si>
    <t>Indicadores de gestión y toma de decisiones</t>
  </si>
  <si>
    <t>👉🏻 Clase 3: https://youtube.com/live/ngxMXNY73Fg?feature=share</t>
  </si>
  <si>
    <t>https://www.youtube.com/watch?v=ngxMXNY73Fg</t>
  </si>
  <si>
    <t>Innovación y tendencias en la gestión del mantenimiento</t>
  </si>
  <si>
    <t xml:space="preserve">👉🏻 Clase 4: https://youtube.com/live/i-TMOsQDNig?feature=sharequé </t>
  </si>
  <si>
    <t>https://www.youtube.com/watch?v=i-TMOsQDNig</t>
  </si>
  <si>
    <t>56- SOSTENIBILIDAD Y SEGURIDAD EN CAMPAMENTOS MINEROS</t>
  </si>
  <si>
    <t>Estándares de calidad del mantenimiento (ISO 55000)</t>
  </si>
  <si>
    <t>👉🏻 Clase 1: https://youtube.com/live/7WXIJEUEC3U?feature=share</t>
  </si>
  <si>
    <t>https://www.youtube.com/watch?v=7WXIJEUEC3U</t>
  </si>
  <si>
    <r>
      <rPr>
        <rFont val="Arial"/>
        <color theme="1"/>
        <sz val="11.0"/>
      </rPr>
      <t xml:space="preserve">👉🏻 Clase 3: </t>
    </r>
    <r>
      <rPr>
        <rFont val="Arial"/>
        <color rgb="FF1155CC"/>
        <sz val="11.0"/>
        <u/>
      </rPr>
      <t>https://youtube.com/live/DJpYHQkhy_A?feature=share</t>
    </r>
  </si>
  <si>
    <t>👉🏻 Clase 2: https://youtube.com/live/7Wy6YLIRQ8c?feature=share</t>
  </si>
  <si>
    <t>Estándares de calidad del mantenimiento (ISO 55001)</t>
  </si>
  <si>
    <t>https://www.youtube.com/watch?v=7Wy6YLIRQ8c</t>
  </si>
  <si>
    <r>
      <rPr>
        <rFont val="Arial"/>
        <color theme="1"/>
        <sz val="11.0"/>
      </rPr>
      <t xml:space="preserve">👉🏻 Clase 4: </t>
    </r>
    <r>
      <rPr>
        <rFont val="Arial"/>
        <color rgb="FF1155CC"/>
        <sz val="11.0"/>
        <u/>
      </rPr>
      <t>https://youtube.com/live/4B16cOWl0Ws?</t>
    </r>
  </si>
  <si>
    <t>👉🏻 Clase 3: https://youtube.com/live/O-VgnyDJBJ8?feature=share</t>
  </si>
  <si>
    <t>https://www.youtube.com/watch?v=O-VgnyDJBJ8</t>
  </si>
  <si>
    <t>Sistema de calidad del mantenimiento</t>
  </si>
  <si>
    <t>👉🏻 Clase 4: https://youtube.com/live/DeNxp3Nt0Nw?feature=share</t>
  </si>
  <si>
    <t>https://www.youtube.com/watch?v=DeNxp3Nt0Nw</t>
  </si>
  <si>
    <t>57- ANÁLISIS DE DATOS PARA OPTIMIZAR OPERACIONES MINERAS</t>
  </si>
  <si>
    <r>
      <rPr>
        <rFont val="Arial"/>
        <color theme="1"/>
        <sz val="11.0"/>
      </rPr>
      <t xml:space="preserve">👉🏻 Clase 1: </t>
    </r>
    <r>
      <rPr>
        <rFont val="Arial"/>
        <color rgb="FF1155CC"/>
        <sz val="11.0"/>
        <u/>
      </rPr>
      <t>https://youtube.com/live/PvFPYZou8-g?</t>
    </r>
  </si>
  <si>
    <t>👉🏻 Clase 1: https://youtube.com/live/yy7UNc6yy4A?</t>
  </si>
  <si>
    <t>https://www.youtube.com/watch?v=yy7UNc6yy4A</t>
  </si>
  <si>
    <t xml:space="preserve">👉🏻 Clase 2: https://youtube.com/live/gG5HUxZTPEw?feature=share </t>
  </si>
  <si>
    <t>https://www.youtube.com/watch?v=gG5HUxZTPEw</t>
  </si>
  <si>
    <t>Normativa aduanera</t>
  </si>
  <si>
    <t>👉🏻 Clase 3:https://youtube.com/live/N4eLEss4Aao?</t>
  </si>
  <si>
    <t>https://www.youtube.com/watch?v=N4eLEss4Aao</t>
  </si>
  <si>
    <t>Estrategias arancelarias y comercio exterior</t>
  </si>
  <si>
    <r>
      <rPr>
        <rFont val="Arial"/>
        <color theme="1"/>
        <sz val="11.0"/>
      </rPr>
      <t xml:space="preserve">👉🏻 Clase 3: </t>
    </r>
    <r>
      <rPr>
        <rFont val="Arial"/>
        <color rgb="FF1155CC"/>
        <sz val="11.0"/>
        <u/>
      </rPr>
      <t>https://youtube.com/live/U9X3-rnPBYk?feature=share¿</t>
    </r>
  </si>
  <si>
    <t>Proceso de tramitación de documentos aduaneros en Perú</t>
  </si>
  <si>
    <t>https://www.youtube.com/watch?v=U9X3-rnPBYk</t>
  </si>
  <si>
    <t>58- SEGURIDAD Y CONTROL AMBIENTAL EN EL MANTENIMIENTO</t>
  </si>
  <si>
    <t>Claves en la documentación aduanera</t>
  </si>
  <si>
    <t xml:space="preserve">GEO MINERA/ GESTIÓN AMBIENTAL SOSTENIBLE 
</t>
  </si>
  <si>
    <t>👉🏻 Clase 1: https://youtube.com/live/xtwLSdjZPT8?feature=share</t>
  </si>
  <si>
    <t>https://www.youtube.com/watch?v=xtwLSdjZPT8</t>
  </si>
  <si>
    <t>Gestión de stakeholders</t>
  </si>
  <si>
    <t>👉🏻 Clase 2: https://youtube.com/live/Dp7hqGNLcsk?feature=share</t>
  </si>
  <si>
    <t>https://www.youtube.com/watch?v=Dp7hqGNLcsk</t>
  </si>
  <si>
    <t>Gestión de proveedores</t>
  </si>
  <si>
    <t>👉🏻 Clase 3: https://youtube.com/live/0nBP_kt7ldA?feature=share</t>
  </si>
  <si>
    <t>https://www.youtube.com/watch?v=0nBP_kt7ldA</t>
  </si>
  <si>
    <t>Estrategias para evitar estafas</t>
  </si>
  <si>
    <t>59- GERENCIA DE PROYECTOS DEL MANTENIMIENTO</t>
  </si>
  <si>
    <t>👉🏻 Clase 01: https://youtube.com/live/EWefzYJlUT8?feature=share</t>
  </si>
  <si>
    <t>https://www.youtube.com/watch?v=EWefzYJlUT8</t>
  </si>
  <si>
    <r>
      <rPr>
        <rFont val="Arial"/>
      </rPr>
      <t xml:space="preserve">👉🏻 Clase 02: </t>
    </r>
    <r>
      <rPr>
        <rFont val="Arial"/>
        <color rgb="FF1155CC"/>
        <u/>
      </rPr>
      <t>https://www.youtube.com/live/y7e4TYMfT-M?</t>
    </r>
  </si>
  <si>
    <t>https://www.youtube.com/watch?v=y7e4TYMfT-M</t>
  </si>
  <si>
    <t>👉🏻 Clase 03: https://youtube.com/live/5u2ptqn39sY?</t>
  </si>
  <si>
    <t>Evaluación y priorización de riesgos</t>
  </si>
  <si>
    <t>https://www.youtube.com/watch?v=5u2ptqn39sY</t>
  </si>
  <si>
    <t>Desarrollo de estrategias de mitigación</t>
  </si>
  <si>
    <t>👉🏻 Clase 04: https://youtube.com/live/5KgvIuqlddE?</t>
  </si>
  <si>
    <t>https://www.youtube.com/watch?v=5KgvIuqlddE</t>
  </si>
  <si>
    <t>Monitoreo continuo y revisión</t>
  </si>
  <si>
    <t>60- GESTIÓN DE COSTOS DEL MANTENIMIENTO EN LA INDUSTRIA 4.0</t>
  </si>
  <si>
    <r>
      <rPr>
        <rFont val="Arial"/>
      </rPr>
      <t xml:space="preserve">👉🏻 *Clase 1:* </t>
    </r>
    <r>
      <rPr>
        <rFont val="Arial"/>
        <color rgb="FF1155CC"/>
        <u/>
      </rPr>
      <t>https://youtube.com/live/aAGSbABpRLc?feature=share</t>
    </r>
  </si>
  <si>
    <t>https://www.youtube.com/watch?v=aAGSbABpRLc</t>
  </si>
  <si>
    <t>Introducción al aseguramiento de la calidad y control de calidad</t>
  </si>
  <si>
    <r>
      <rPr>
        <rFont val="Arial"/>
      </rPr>
      <t xml:space="preserve">👉🏻 *Clase 2:* </t>
    </r>
    <r>
      <rPr>
        <rFont val="Arial"/>
        <color rgb="FF1155CC"/>
        <u/>
      </rPr>
      <t>https://youtube.com/live/U_3HI15SU6o?feature=share</t>
    </r>
  </si>
  <si>
    <t>https://www.youtube.com/watch?v=U_3HI15SU6o</t>
  </si>
  <si>
    <t>Componentes fundamentales del diseño</t>
  </si>
  <si>
    <r>
      <rPr>
        <rFont val="Arial"/>
      </rPr>
      <t xml:space="preserve">👉🏻 *Clase 3:* </t>
    </r>
    <r>
      <rPr>
        <rFont val="Arial"/>
        <color rgb="FF1155CC"/>
        <u/>
      </rPr>
      <t>https://youtube.com/live/guDoLshQGlo?feature=share</t>
    </r>
  </si>
  <si>
    <t>Acciones correctivas y preventivas (CAPA)</t>
  </si>
  <si>
    <t>https://www.youtube.com/watch?v=guDoLshQGlo</t>
  </si>
  <si>
    <t>👉🏻 *Clase 4:* https://youtube.com/live/OqFlA1Nr1T8?feature=share</t>
  </si>
  <si>
    <t>Herramientas y tecnologías</t>
  </si>
  <si>
    <t>https://www.youtube.com/watch?v=OqFlA1Nr1T8</t>
  </si>
  <si>
    <t>61- SOSTENIBILIDAD Y MINERÍA RESPONSABLE</t>
  </si>
  <si>
    <t>👉🏻 Clase 1: https://youtube.com/live/NXQFBkkXRDc?feature=share</t>
  </si>
  <si>
    <t>Mediciones en los procesos</t>
  </si>
  <si>
    <t>https://www.youtube.com/watch?v=NXQFBkkXRDc</t>
  </si>
  <si>
    <r>
      <rPr>
        <rFont val="Arial"/>
      </rPr>
      <t xml:space="preserve">👉🏻 Clase 2: </t>
    </r>
    <r>
      <rPr>
        <rFont val="Arial"/>
        <color rgb="FF1155CC"/>
        <u/>
      </rPr>
      <t>https://youtube.com/live/pbTeN_qCaEk?</t>
    </r>
  </si>
  <si>
    <t>Estrategias de control de procesos</t>
  </si>
  <si>
    <t>https://www.youtube.com/watch?v=pbTeN_qCaEk</t>
  </si>
  <si>
    <t>Innovación de sistemas de monitoreo y control</t>
  </si>
  <si>
    <t>62- PRIMEROS AUXILIOS EN MINERÍA</t>
  </si>
  <si>
    <t>👉🏻 Clase 1:   https://youtube.com/live/QBwK1TDAy9E?feature=share</t>
  </si>
  <si>
    <t>https://www.youtube.com/watch?v=QBwK1TDAy9E</t>
  </si>
  <si>
    <t>Beneficios del monitoreo y control de las operaciones mineras</t>
  </si>
  <si>
    <t>👉🏻 Clase 2: https://youtube.com/live/PN9JMPsGWJI?feature=share.                                                        🚨 ¿Por qué aprovechar esto?</t>
  </si>
  <si>
    <t>https://www.youtube.com/watch?v=PN9JMPsGWJI</t>
  </si>
  <si>
    <t>63- INDICADORES CLAVE (KPIS) PARA LA CADENA DE ABASTECIMIENTOS</t>
  </si>
  <si>
    <t>Aspectos claves en la sostenibilidad en los campamentos mineros</t>
  </si>
  <si>
    <t>👉🏻 Clase 1: https://youtube.com/live/tHDeyxJWpDc?feature=share</t>
  </si>
  <si>
    <t>https://www.youtube.com/watch?v=tHDeyxJWpDc</t>
  </si>
  <si>
    <t>Fundamentos en la seguridad en campamentos mineros</t>
  </si>
  <si>
    <t>https://youtube.com/live/8q2uIts7_uY?</t>
  </si>
  <si>
    <t>PTAR esenciales para la sostenibilidad minera</t>
  </si>
  <si>
    <t>https://www.youtube.com/watch?v=8q2uIts7_uY</t>
  </si>
  <si>
    <t>64- EXPLORACIÓN MINERA Y EVALUACIÓN DE YACIMIENTOS</t>
  </si>
  <si>
    <t>Estrategias para incrementar la sostenibilidad</t>
  </si>
  <si>
    <t>👉🏻 Clase 1: https://youtube.com/live/NGa4N5su0Ok?feature=share</t>
  </si>
  <si>
    <t>https://www.youtube.com/watch?v=NGa4N5su0Ok</t>
  </si>
  <si>
    <t>👉🏻 Clase 2: https://youtube.com/live/S7w7aoauTX0?feature=share</t>
  </si>
  <si>
    <t>https://www.youtube.com/watch?v=S7w7aoauTX0</t>
  </si>
  <si>
    <t>Revolución de datos en la minería moderna: innovaciones para un futuro más eficiente</t>
  </si>
  <si>
    <t>65- REQUISITOS CLAVE DE ISO 14001 Y CÓMO APLICARLOS EN LA EMPRESA</t>
  </si>
  <si>
    <t>Aplicaciones del análisis de datos</t>
  </si>
  <si>
    <t>👉🏻 Clase 1: https://youtube.com/live/w3-iIVNbbBA?feature=share</t>
  </si>
  <si>
    <t>Técnicas de análisis de datos</t>
  </si>
  <si>
    <t>https://www.youtube.com/watch?v=w3-iIVNbbBA</t>
  </si>
  <si>
    <r>
      <rPr>
        <rFont val="Arial"/>
        <color theme="1"/>
        <sz val="11.0"/>
      </rPr>
      <t xml:space="preserve">👉🏻 Clase 3: </t>
    </r>
    <r>
      <rPr>
        <rFont val="Arial"/>
        <color rgb="FF1155CC"/>
        <sz val="11.0"/>
        <u/>
      </rPr>
      <t>https://youtube.com/live/U9X3-rnPBYk?feature=share¿</t>
    </r>
  </si>
  <si>
    <t>👉🏻 Clase 2: https://youtube.com/live/yhylUPjcdkc?feature=share</t>
  </si>
  <si>
    <t>Herramientas de análisis de datos</t>
  </si>
  <si>
    <t>https://www.youtube.com/watch?v=yhylUPjcdkc</t>
  </si>
  <si>
    <t>66- SISTEMAS INTEGRADOS DE GESTIÓN HSEQ (ISO 9001, 14001, 45001)</t>
  </si>
  <si>
    <t>buscar o subir en YT</t>
  </si>
  <si>
    <t>son los links de los cursos de cada ISO</t>
  </si>
  <si>
    <t>67- GESTIÓN DE CRISIS Y MANEJO DE CONFLICTOS EN AMBIENTES INDUSTRIALES</t>
  </si>
  <si>
    <t>Seguridad estratégica en el mantenimiento</t>
  </si>
  <si>
    <r>
      <rPr>
        <rFont val="Roboto"/>
      </rPr>
      <t xml:space="preserve">👉🏻 Clase 1: </t>
    </r>
    <r>
      <rPr>
        <rFont val="Roboto"/>
        <color rgb="FF1155CC"/>
        <u/>
      </rPr>
      <t>https://youtube.com/live/JCuIfXtExFU</t>
    </r>
  </si>
  <si>
    <t>Ecomantenimiento: herramientas y seguridad ambiental</t>
  </si>
  <si>
    <t>https://www.youtube.com/watch?v=JCuIfXtExFU</t>
  </si>
  <si>
    <t>Ecoseguridad 360: integrando ISO 14001:2015</t>
  </si>
  <si>
    <t>👉🏻 Clase 2: https://youtube.com/live/C2J-2q2bwBs</t>
  </si>
  <si>
    <t>https://www.youtube.com/watch?v=C2J-2q2bwBs</t>
  </si>
  <si>
    <t>68- PLANIFICACIÓN ESTRATÉGICA Y BALANCED SCORECARD</t>
  </si>
  <si>
    <t>https://youtu.be/i77VbfbEhE0</t>
  </si>
  <si>
    <t>Fundamentos de la gerencia de proyectos de mantenimiento</t>
  </si>
  <si>
    <r>
      <rPr>
        <rFont val="Arial"/>
      </rPr>
      <t xml:space="preserve">👉🏻 Clase 02: </t>
    </r>
    <r>
      <rPr>
        <rFont val="Arial"/>
        <color rgb="FF1155CC"/>
        <u/>
      </rPr>
      <t>https://www.youtube.com/live/y7e4TYMfT-M?</t>
    </r>
  </si>
  <si>
    <t>https://youtu.be/4nCwl2XAybI</t>
  </si>
  <si>
    <t>69- GESTIÓN DE LA ENERGÍA EN OPERACIONES MINERAS</t>
  </si>
  <si>
    <t>Gestión integral de proyectos</t>
  </si>
  <si>
    <t>https://youtu.be/mIB0Lu48CP0</t>
  </si>
  <si>
    <t>Gestión avanzada de proyectos</t>
  </si>
  <si>
    <t>https://youtu.be/l6_i5JZa0ZU</t>
  </si>
  <si>
    <t>Tecnología avanzada y certificaciones</t>
  </si>
  <si>
    <t>70- GESTIÓN DE LA CADENA DE SUMINISTRO EN EMPRESAS MINERAS</t>
  </si>
  <si>
    <t>https://youtu.be/sw3MaBxVcgs</t>
  </si>
  <si>
    <r>
      <rPr>
        <rFont val="Arial"/>
      </rPr>
      <t xml:space="preserve">👉🏻 *Clase 1:* </t>
    </r>
    <r>
      <rPr>
        <rFont val="Arial"/>
        <color rgb="FF1155CC"/>
        <u/>
      </rPr>
      <t>https://youtube.com/live/aAGSbABpRLc?feature=share</t>
    </r>
  </si>
  <si>
    <t>https://youtu.be/3UtZkHdsK4I</t>
  </si>
  <si>
    <t>71- SEGURIDAD Y NORMATIVA EN EL CONTROL DE INVENTARIO Y LOGÍSTICA MINERA</t>
  </si>
  <si>
    <t>Fundamentos clave en la gestión de costos</t>
  </si>
  <si>
    <r>
      <rPr>
        <rFont val="Arial"/>
      </rPr>
      <t xml:space="preserve">👉🏻 *Clase 2:* </t>
    </r>
    <r>
      <rPr>
        <rFont val="Arial"/>
        <color rgb="FF1155CC"/>
        <u/>
      </rPr>
      <t>https://youtube.com/live/U_3HI15SU6o?feature=share</t>
    </r>
  </si>
  <si>
    <t>https://youtube.com/live/8LFZNQmrZvc?feature=share</t>
  </si>
  <si>
    <t>ABM (Activity-Based Management) aplicados a la gestión de costos</t>
  </si>
  <si>
    <t>https://youtube.com/live/jlrlI1veqlI?feature=share</t>
  </si>
  <si>
    <r>
      <rPr>
        <rFont val="Arial"/>
      </rPr>
      <t xml:space="preserve">👉🏻 *Clase 3:* </t>
    </r>
    <r>
      <rPr>
        <rFont val="Arial"/>
        <color rgb="FF1155CC"/>
        <u/>
      </rPr>
      <t>https://youtube.com/live/guDoLshQGlo?feature=share</t>
    </r>
  </si>
  <si>
    <t>72- SALUD MENTAL EN EL TRABAJO: DETECCIÓN Y PREVENCIÓN DE TRASTORNOS PSICOLÓGICOS</t>
  </si>
  <si>
    <t>ABC (Activity-Based Costing) aplicados a la gestión de costos</t>
  </si>
  <si>
    <t>https://youtu.be/cwvcDjBpWPQ</t>
  </si>
  <si>
    <t>https://youtu.be/L-IWP6bCqMs</t>
  </si>
  <si>
    <t>Mantenimiento basado en la condición (CBM) en la reducción de costos</t>
  </si>
  <si>
    <t>73- IMPLEMENTACIÓN DE LEAN MANUFACTURING EN PROCESOS INDUSTRIALES</t>
  </si>
  <si>
    <t>https://youtube.com/live/9tIXUP42nFM?feature=share</t>
  </si>
  <si>
    <t>https://youtube.com/live/2GygAzTyURo?feature=share</t>
  </si>
  <si>
    <t>Introducción a la sostenibilidad y principios de la minería responsable</t>
  </si>
  <si>
    <t>74- ERGONOMÍA Y DISEÑO DE PUESTOS DE TRABAJO EN LA INDUSTRIA</t>
  </si>
  <si>
    <r>
      <rPr>
        <rFont val="Arial"/>
      </rPr>
      <t xml:space="preserve">👉🏻 Clase 2: </t>
    </r>
    <r>
      <rPr>
        <rFont val="Arial"/>
        <color rgb="FF1155CC"/>
        <u/>
      </rPr>
      <t>https://youtube.com/live/pbTeN_qCaEk?</t>
    </r>
  </si>
  <si>
    <t>https://youtu.be/51mPcuSbORo</t>
  </si>
  <si>
    <t>Innovaciones, desafíos y futuro de la minería responsable</t>
  </si>
  <si>
    <t>https://youtu.be/yFLLFQnJfGs</t>
  </si>
  <si>
    <t>75- GESTIÓN DE SEGURIDAD DURANTE LAS PARADAS DE PLANTA Y MANTENIMIENTO</t>
  </si>
  <si>
    <t>Fundamentos de primeros auxilios en minería</t>
  </si>
  <si>
    <t>https://youtu.be/iOU2_tMDXUE</t>
  </si>
  <si>
    <t>https://youtu.be/frZrzQYULZI</t>
  </si>
  <si>
    <t>Atención de emergencias y prevención en minería</t>
  </si>
  <si>
    <t>76- GESTIÓN DE RELAVES Y RESIDUOS MINEROS</t>
  </si>
  <si>
    <t>https://youtu.be/GEDKN56DSa4</t>
  </si>
  <si>
    <t>Fundamentos de los KPIs en la cadena de suministro</t>
  </si>
  <si>
    <t>https://youtu.be/KCQx1rBymOc</t>
  </si>
  <si>
    <t>Análisis y mejora de los KPIs en la cadena de suministro</t>
  </si>
  <si>
    <t>Fundamentos de la exploración minera</t>
  </si>
  <si>
    <t>Evaluación y modelado de yacimientos mineros</t>
  </si>
  <si>
    <t>Fundamentos de ISO 14001 y su enfoque hacia la gestión ambiental</t>
  </si>
  <si>
    <t>Implementación, evaluación y mejora continua en la gestión ambiental</t>
  </si>
  <si>
    <t>CLASE 05</t>
  </si>
  <si>
    <t>CLASE 06</t>
  </si>
  <si>
    <t>CLASE 07</t>
  </si>
  <si>
    <t>CLASE 08</t>
  </si>
  <si>
    <t>CLASE 09</t>
  </si>
  <si>
    <t>CLASE 10</t>
  </si>
  <si>
    <r>
      <rPr>
        <rFont val="Roboto"/>
      </rPr>
      <t xml:space="preserve">👉🏻 Clase 1: </t>
    </r>
    <r>
      <rPr>
        <rFont val="Roboto"/>
        <color rgb="FF1155CC"/>
        <u/>
      </rPr>
      <t>https://youtube.com/live/JCuIfXtExFU</t>
    </r>
  </si>
  <si>
    <t>Introducción a la gestión de crisis en el entorno industrial</t>
  </si>
  <si>
    <t xml:space="preserve">      </t>
  </si>
  <si>
    <t>Manejo de conflictos en ambientes industriales</t>
  </si>
  <si>
    <t>Cuadro de mando integral BSC</t>
  </si>
  <si>
    <t>BSC y FODA</t>
  </si>
  <si>
    <t>Fundamentos de la gestión de la energía en la minería</t>
  </si>
  <si>
    <t>Estrategias avanzadas y tecnologías en la gestión energética para minería</t>
  </si>
  <si>
    <t>Introducción a la gestión de la cadena de suministro en la minería</t>
  </si>
  <si>
    <t>Optimización y mejores prácticas en la gestión de la cadena de suministro minera</t>
  </si>
  <si>
    <t>Fundamentos de seguridad y control de inventarios en minería</t>
  </si>
  <si>
    <t>Logística minera y gestión de seguridad en el proceso de suministro</t>
  </si>
  <si>
    <t>Comprendiendo la salud mental en el trabajo y los trastornos psicológicos comunes</t>
  </si>
  <si>
    <t>Prevención y estrategias de apoyo en el trabajo para la salud mental</t>
  </si>
  <si>
    <t>Principios lean avanzados en minería</t>
  </si>
  <si>
    <t>Implementación y control: lean mining</t>
  </si>
  <si>
    <t>Fundamentos de ergonomía en la industria</t>
  </si>
  <si>
    <t>Diseño y adaptación de puestos de trabajo</t>
  </si>
  <si>
    <t>Planificación y preparación para la parada de planta</t>
  </si>
  <si>
    <t>Ejecución, supervisión y mejora continua en paradas de planta</t>
  </si>
  <si>
    <t>Fundamentos de la gestión de relaves y residuos mineros</t>
  </si>
  <si>
    <t>Técnicas y tecnologías para la gestión sostenible de residuos mineros</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</si>
</sst>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Arial"/>
      <scheme val="minor"/>
    </font>
    <font>
      <color theme="1"/>
      <name val="Arial"/>
      <scheme val="minor"/>
    </font>
    <font>
      <b/>
      <sz val="11.0"/>
      <color theme="1"/>
      <name val="Roboto"/>
    </font>
    <font>
      <b/>
      <sz val="11.0"/>
      <color rgb="FF000000"/>
      <name val="Roboto"/>
    </font>
    <font>
      <color theme="1"/>
      <name val="Roboto"/>
    </font>
    <font>
      <sz val="11.0"/>
      <color theme="1"/>
      <name val="Arial"/>
    </font>
    <font>
      <sz val="10.0"/>
      <color theme="1"/>
      <name val="Arial"/>
    </font>
    <font>
      <sz val="11.0"/>
      <color rgb="FF000000"/>
      <name val="Arial"/>
    </font>
    <font>
      <u/>
      <sz val="11.0"/>
      <color rgb="FF000000"/>
      <name val="Arial"/>
    </font>
    <font>
      <color theme="1"/>
      <name val="Arial"/>
    </font>
    <font/>
    <font>
      <u/>
      <sz val="11.0"/>
      <color rgb="FF000000"/>
      <name val="Arial"/>
    </font>
    <font>
      <b/>
      <color theme="1"/>
      <name val="Arial"/>
    </font>
    <font>
      <b/>
      <color theme="1"/>
      <name val="Arial"/>
      <scheme val="minor"/>
    </font>
    <font>
      <strike/>
      <color rgb="FF000000"/>
      <name val="Arial"/>
    </font>
    <font>
      <b/>
      <strike/>
      <color rgb="FF000000"/>
      <name val="Arial"/>
    </font>
    <font>
      <u/>
      <sz val="11.0"/>
      <color theme="1"/>
      <name val="Arial"/>
    </font>
    <font>
      <u/>
      <sz val="11.0"/>
      <color rgb="FF000000"/>
      <name val="Arial"/>
    </font>
    <font>
      <u/>
      <color rgb="FF0000FF"/>
      <name val="Arial"/>
    </font>
    <font>
      <u/>
      <sz val="11.0"/>
      <color rgb="FF0000FF"/>
      <name val="Arial"/>
    </font>
    <font>
      <b/>
      <sz val="11.0"/>
      <color theme="1"/>
      <name val="Arial"/>
    </font>
    <font>
      <u/>
      <color rgb="FF0000FF"/>
      <name val="Arial"/>
    </font>
    <font>
      <sz val="10.0"/>
      <color theme="1"/>
      <name val="Arial"/>
      <scheme val="minor"/>
    </font>
    <font>
      <u/>
      <sz val="11.0"/>
      <color rgb="FF000000"/>
    </font>
    <font>
      <u/>
      <color rgb="FF0000FF"/>
    </font>
    <font>
      <sz val="11.0"/>
      <color theme="1"/>
      <name val="Roboto"/>
    </font>
    <font>
      <sz val="10.0"/>
      <color theme="1"/>
      <name val="Roboto"/>
    </font>
    <font>
      <u/>
      <sz val="11.0"/>
      <color rgb="FF000000"/>
      <name val="Roboto"/>
    </font>
    <font>
      <sz val="11.0"/>
      <color rgb="FF000000"/>
      <name val="Roboto"/>
    </font>
    <font>
      <u/>
      <color rgb="FF0000FF"/>
      <name val="Roboto"/>
    </font>
    <font>
      <sz val="11.0"/>
      <color rgb="FF000000"/>
      <name val="Arial"/>
      <scheme val="minor"/>
    </font>
    <font>
      <u/>
      <sz val="11.0"/>
      <color rgb="FF000000"/>
      <name val="Roboto"/>
    </font>
  </fonts>
  <fills count="11">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theme="1"/>
        <bgColor theme="1"/>
      </patternFill>
    </fill>
    <fill>
      <patternFill patternType="solid">
        <fgColor rgb="FF00FF00"/>
        <bgColor rgb="FF00FF00"/>
      </patternFill>
    </fill>
    <fill>
      <patternFill patternType="solid">
        <fgColor rgb="FFFF9900"/>
        <bgColor rgb="FFFF9900"/>
      </patternFill>
    </fill>
    <fill>
      <patternFill patternType="solid">
        <fgColor rgb="FFC9DAF8"/>
        <bgColor rgb="FFC9DAF8"/>
      </patternFill>
    </fill>
    <fill>
      <patternFill patternType="solid">
        <fgColor rgb="FFFFFFFF"/>
        <bgColor rgb="FFFFFFFF"/>
      </patternFill>
    </fill>
    <fill>
      <patternFill patternType="solid">
        <fgColor rgb="FFD5A6BD"/>
        <bgColor rgb="FFD5A6BD"/>
      </patternFill>
    </fill>
    <fill>
      <patternFill patternType="solid">
        <fgColor rgb="FF000000"/>
        <bgColor rgb="FF00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right/>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horizontal="center" readingOrder="0" shrinkToFit="0" vertical="center" wrapText="0"/>
    </xf>
    <xf borderId="0" fillId="2" fontId="2" numFmtId="0" xfId="0" applyAlignment="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3" numFmtId="0" xfId="0" applyAlignment="1" applyBorder="1" applyFill="1" applyFont="1">
      <alignment horizontal="left" readingOrder="0" shrinkToFit="0" vertical="center" wrapText="0"/>
    </xf>
    <xf borderId="1" fillId="3" fontId="3" numFmtId="0" xfId="0" applyAlignment="1" applyBorder="1" applyFill="1" applyFont="1">
      <alignment readingOrder="0" shrinkToFit="0" vertical="center" wrapText="0"/>
    </xf>
    <xf borderId="1" fillId="2" fontId="2" numFmtId="0" xfId="0" applyAlignment="1" applyBorder="1" applyFill="1" applyFont="1">
      <alignment horizontal="center" shrinkToFit="0" vertical="center" wrapText="1"/>
    </xf>
    <xf borderId="0" fillId="0" fontId="4" numFmtId="0" xfId="0" applyAlignment="1" applyFont="1">
      <alignment shrinkToFit="0" vertical="center" wrapText="1"/>
    </xf>
    <xf borderId="1" fillId="3" fontId="2" numFmtId="0" xfId="0" applyAlignment="1" applyBorder="1" applyFill="1" applyFont="1">
      <alignment horizontal="center" shrinkToFit="0" vertical="center" wrapText="1"/>
    </xf>
    <xf borderId="2" fillId="0" fontId="5" numFmtId="0" xfId="0" applyAlignment="1" applyBorder="1" applyFont="1">
      <alignment readingOrder="0" shrinkToFit="0" vertical="center" wrapText="0"/>
    </xf>
    <xf borderId="2" fillId="2" fontId="5" numFmtId="0" xfId="0" applyAlignment="1" applyBorder="1" applyFill="1" applyFont="1">
      <alignment readingOrder="0" shrinkToFit="0" vertical="center" wrapText="1"/>
    </xf>
    <xf borderId="2" fillId="0" fontId="6"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0"/>
    </xf>
    <xf borderId="1" fillId="0" fontId="8" numFmtId="0" xfId="0" applyAlignment="1" applyBorder="1" applyFont="1">
      <alignment readingOrder="0" shrinkToFit="0" vertical="center" wrapText="0"/>
    </xf>
    <xf borderId="1" fillId="0" fontId="5" numFmtId="0" xfId="0" applyAlignment="1" applyBorder="1" applyFont="1">
      <alignment horizontal="left" vertical="center"/>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0" fillId="0" fontId="9" numFmtId="0" xfId="0" applyAlignment="1" applyFont="1">
      <alignment vertical="center"/>
    </xf>
    <xf borderId="1" fillId="0" fontId="2" numFmtId="0" xfId="0" applyAlignment="1" applyBorder="1" applyFont="1">
      <alignment horizontal="center" readingOrder="0" shrinkToFit="0" vertical="center" wrapText="0"/>
    </xf>
    <xf borderId="1" fillId="0" fontId="5" numFmtId="0" xfId="0" applyAlignment="1" applyBorder="1" applyFont="1">
      <alignment vertical="center"/>
    </xf>
    <xf borderId="1" fillId="2" fontId="2" numFmtId="0" xfId="0" applyAlignment="1" applyBorder="1" applyFill="1" applyFont="1">
      <alignment horizontal="left" readingOrder="0" shrinkToFit="0" vertical="center" wrapText="0"/>
    </xf>
    <xf borderId="3" fillId="0" fontId="10" numFmtId="0" xfId="0" applyBorder="1" applyFont="1"/>
    <xf borderId="0" fillId="0" fontId="1" numFmtId="0" xfId="0" applyAlignment="1" applyFont="1">
      <alignment shrinkToFit="0" vertical="center" wrapText="0"/>
    </xf>
    <xf borderId="0" fillId="0" fontId="9" numFmtId="0" xfId="0" applyAlignment="1" applyFont="1">
      <alignment readingOrder="0"/>
    </xf>
    <xf borderId="2" fillId="0" fontId="5" numFmtId="0" xfId="0" applyAlignment="1" applyBorder="1" applyFont="1">
      <alignment readingOrder="0" shrinkToFit="0" vertical="center" wrapText="1"/>
    </xf>
    <xf borderId="4" fillId="0" fontId="10" numFmtId="0" xfId="0" applyBorder="1" applyFont="1"/>
    <xf borderId="2" fillId="0" fontId="5" numFmtId="0" xfId="0" applyAlignment="1" applyBorder="1" applyFont="1">
      <alignment shrinkToFit="0" vertical="center" wrapText="1"/>
    </xf>
    <xf borderId="0" fillId="0" fontId="9" numFmtId="0" xfId="0" applyAlignment="1" applyFont="1">
      <alignment horizontal="left" readingOrder="0" vertical="center"/>
    </xf>
    <xf borderId="1" fillId="0" fontId="5" numFmtId="0" xfId="0" applyAlignment="1" applyBorder="1" applyFont="1">
      <alignment horizontal="left" shrinkToFit="0" vertical="center" wrapText="0"/>
    </xf>
    <xf borderId="0" fillId="0" fontId="1" numFmtId="0" xfId="0" applyAlignment="1" applyFont="1">
      <alignment horizontal="center" shrinkToFit="0" wrapText="0"/>
    </xf>
    <xf borderId="1" fillId="0" fontId="11" numFmtId="0" xfId="0" applyAlignment="1" applyBorder="1" applyFont="1">
      <alignment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left" readingOrder="0" vertical="center"/>
    </xf>
    <xf borderId="1" fillId="0" fontId="12"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0"/>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13" numFmtId="0" xfId="0" applyAlignment="1" applyBorder="1" applyFont="1">
      <alignment horizontal="center" shrinkToFit="0" vertical="center" wrapText="1"/>
    </xf>
    <xf borderId="0" fillId="0" fontId="1" numFmtId="0" xfId="0" applyAlignment="1" applyFont="1">
      <alignment horizontal="center"/>
    </xf>
    <xf borderId="1" fillId="0" fontId="1" numFmtId="0" xfId="0" applyAlignment="1" applyBorder="1" applyFont="1">
      <alignment horizontal="center"/>
    </xf>
    <xf borderId="1" fillId="0" fontId="1"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Font="1"/>
    <xf borderId="0" fillId="0" fontId="14" numFmtId="0" xfId="0" applyAlignment="1" applyFont="1">
      <alignment horizontal="right" readingOrder="0" vertical="bottom"/>
    </xf>
    <xf borderId="0" fillId="0" fontId="15" numFmtId="0" xfId="0" applyAlignment="1" applyFont="1">
      <alignment horizontal="right" readingOrder="0" vertical="bottom"/>
    </xf>
    <xf borderId="1" fillId="0" fontId="9" numFmtId="0" xfId="0" applyAlignment="1" applyBorder="1" applyFont="1">
      <alignment horizontal="left" readingOrder="0" vertical="center"/>
    </xf>
    <xf borderId="1" fillId="0" fontId="5" numFmtId="0" xfId="0" applyAlignment="1" applyBorder="1" applyFont="1">
      <alignment horizontal="left" readingOrder="0" shrinkToFit="0" vertical="center" wrapText="0"/>
    </xf>
    <xf borderId="2" fillId="0" fontId="5" numFmtId="0" xfId="0" applyAlignment="1" applyBorder="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1" fillId="0" fontId="16" numFmtId="0" xfId="0" applyAlignment="1" applyBorder="1" applyFont="1">
      <alignment horizontal="left" readingOrder="0" vertical="center"/>
    </xf>
    <xf borderId="0" fillId="0" fontId="1" numFmtId="0" xfId="0" applyAlignment="1" applyFont="1">
      <alignment shrinkToFit="0" wrapText="0"/>
    </xf>
    <xf borderId="0" fillId="0" fontId="5" numFmtId="0" xfId="0" applyAlignment="1" applyFont="1">
      <alignment vertical="center"/>
    </xf>
    <xf borderId="0" fillId="0" fontId="1" numFmtId="0" xfId="0" applyAlignment="1" applyFont="1">
      <alignment vertical="center"/>
    </xf>
    <xf borderId="1" fillId="0" fontId="17" numFmtId="0" xfId="0" applyAlignment="1" applyBorder="1" applyFont="1">
      <alignment horizontal="left" readingOrder="0" vertical="center"/>
    </xf>
    <xf borderId="0" fillId="0" fontId="9" numFmtId="0" xfId="0" applyAlignment="1" applyFont="1">
      <alignment shrinkToFit="0" vertical="center" wrapText="0"/>
    </xf>
    <xf borderId="1" fillId="0" fontId="7"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2" fillId="0" fontId="5" numFmtId="0" xfId="0" applyAlignment="1" applyBorder="1" applyFont="1">
      <alignment horizontal="center" readingOrder="0" vertical="center"/>
    </xf>
    <xf borderId="1" fillId="0" fontId="5" numFmtId="0" xfId="0" applyAlignment="1" applyBorder="1" applyFont="1">
      <alignment shrinkToFit="0" vertical="center" wrapText="0"/>
    </xf>
    <xf borderId="0" fillId="0" fontId="9" numFmtId="0" xfId="0" applyAlignment="1" applyFont="1">
      <alignment readingOrder="0" vertical="center"/>
    </xf>
    <xf borderId="0" fillId="0" fontId="18" numFmtId="0" xfId="0" applyAlignment="1" applyFont="1">
      <alignment readingOrder="0" vertical="center"/>
    </xf>
    <xf borderId="1" fillId="0" fontId="19" numFmtId="0" xfId="0" applyAlignment="1" applyBorder="1" applyFont="1">
      <alignment horizontal="left" readingOrder="0" vertical="center"/>
    </xf>
    <xf borderId="2" fillId="0" fontId="1" numFmtId="0" xfId="0" applyAlignment="1" applyBorder="1" applyFont="1">
      <alignment horizontal="center" readingOrder="0" vertical="center"/>
    </xf>
    <xf borderId="1" fillId="0" fontId="20" numFmtId="0" xfId="0" applyAlignment="1" applyBorder="1" applyFont="1">
      <alignment shrinkToFit="0" vertical="center" wrapText="0"/>
    </xf>
    <xf borderId="2" fillId="0" fontId="20" numFmtId="0" xfId="0" applyAlignment="1" applyBorder="1" applyFont="1">
      <alignment shrinkToFit="0" vertical="center" wrapText="0"/>
    </xf>
    <xf borderId="2" fillId="0" fontId="20" numFmtId="0" xfId="0" applyAlignment="1" applyBorder="1" applyFont="1">
      <alignment shrinkToFit="0" vertical="center" wrapText="1"/>
    </xf>
    <xf borderId="1" fillId="0" fontId="20" numFmtId="0" xfId="0" applyAlignment="1" applyBorder="1" applyFont="1">
      <alignment readingOrder="0" shrinkToFit="0" vertical="center" wrapText="0"/>
    </xf>
    <xf borderId="1" fillId="0" fontId="5" numFmtId="0" xfId="0" applyAlignment="1" applyBorder="1" applyFont="1">
      <alignment horizontal="left" readingOrder="0" vertical="center"/>
    </xf>
    <xf borderId="2" fillId="0" fontId="20" numFmtId="0" xfId="0" applyAlignment="1" applyBorder="1" applyFont="1">
      <alignment readingOrder="0" shrinkToFit="0" vertical="center" wrapText="1"/>
    </xf>
    <xf borderId="2" fillId="2" fontId="1" numFmtId="0" xfId="0" applyAlignment="1" applyBorder="1" applyFill="1" applyFont="1">
      <alignment horizontal="center" readingOrder="0" shrinkToFit="0" vertical="top" wrapText="1"/>
    </xf>
    <xf borderId="2" fillId="2" fontId="5" numFmtId="0" xfId="0" applyAlignment="1" applyBorder="1" applyFill="1" applyFont="1">
      <alignment horizontal="center" readingOrder="0" vertical="center"/>
    </xf>
    <xf borderId="1" fillId="0" fontId="21" numFmtId="0" xfId="0" applyAlignment="1" applyBorder="1" applyFont="1">
      <alignment horizontal="left" readingOrder="0" vertical="center"/>
    </xf>
    <xf borderId="1" fillId="4" fontId="5" numFmtId="0" xfId="0" applyAlignment="1" applyBorder="1" applyFill="1" applyFont="1">
      <alignment vertical="center"/>
    </xf>
    <xf borderId="5" fillId="4" fontId="5" numFmtId="0" xfId="0" applyAlignment="1" applyBorder="1" applyFill="1" applyFont="1">
      <alignment vertical="center"/>
    </xf>
    <xf borderId="6" fillId="4" fontId="5" numFmtId="0" xfId="0" applyAlignment="1" applyBorder="1" applyFill="1" applyFont="1">
      <alignment vertical="center"/>
    </xf>
    <xf borderId="1" fillId="0" fontId="9" numFmtId="0" xfId="0" applyAlignment="1" applyBorder="1" applyFont="1">
      <alignment vertical="center"/>
    </xf>
    <xf borderId="1" fillId="0" fontId="5" numFmtId="0" xfId="0" applyAlignment="1" applyBorder="1" applyFont="1">
      <alignment shrinkToFit="0" vertical="center" wrapText="0"/>
    </xf>
    <xf borderId="0" fillId="5" fontId="9" numFmtId="0" xfId="0" applyAlignment="1" applyFill="1" applyFont="1">
      <alignment readingOrder="0" vertical="center"/>
    </xf>
    <xf borderId="1" fillId="0" fontId="9" numFmtId="0" xfId="0" applyAlignment="1" applyBorder="1" applyFont="1">
      <alignment horizontal="left" readingOrder="0" vertical="center"/>
    </xf>
    <xf borderId="0" fillId="5" fontId="9" numFmtId="0" xfId="0" applyAlignment="1" applyFill="1" applyFont="1">
      <alignment readingOrder="0" shrinkToFit="0" vertical="center" wrapText="0"/>
    </xf>
    <xf borderId="2" fillId="0" fontId="0" numFmtId="0" xfId="0" applyAlignment="1" applyBorder="1" applyFont="1">
      <alignment shrinkToFit="0" vertical="center" wrapText="0"/>
    </xf>
    <xf borderId="2" fillId="0" fontId="0" numFmtId="0" xfId="0" applyAlignment="1" applyBorder="1" applyFont="1">
      <alignment readingOrder="0" shrinkToFit="0" vertical="center" wrapText="1"/>
    </xf>
    <xf borderId="2" fillId="0" fontId="22" numFmtId="0" xfId="0" applyAlignment="1" applyBorder="1" applyFont="1">
      <alignment horizontal="center" readingOrder="0" shrinkToFit="0" vertical="center" wrapText="1"/>
    </xf>
    <xf borderId="1" fillId="0" fontId="1" numFmtId="0" xfId="0" applyAlignment="1" applyBorder="1" applyFont="1">
      <alignment horizontal="left" readingOrder="0" vertical="center"/>
    </xf>
    <xf borderId="1" fillId="0" fontId="23"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vertical="center"/>
    </xf>
    <xf borderId="1" fillId="0" fontId="24" numFmtId="0" xfId="0" applyAlignment="1" applyBorder="1" applyFont="1">
      <alignment horizontal="left" readingOrder="0" vertical="center"/>
    </xf>
    <xf borderId="1" fillId="0" fontId="25" numFmtId="0" xfId="0" applyAlignment="1" applyBorder="1" applyFont="1">
      <alignment shrinkToFit="0" vertical="center" wrapText="0"/>
    </xf>
    <xf borderId="2" fillId="0" fontId="25" numFmtId="0" xfId="0" applyAlignment="1" applyBorder="1" applyFont="1">
      <alignment readingOrder="0" shrinkToFit="0" vertical="center" wrapText="1"/>
    </xf>
    <xf borderId="2" fillId="0" fontId="26" numFmtId="0" xfId="0" applyAlignment="1" applyBorder="1" applyFont="1">
      <alignment horizontal="center" readingOrder="0" shrinkToFit="0" vertical="center" wrapText="1"/>
    </xf>
    <xf borderId="1" fillId="0" fontId="4" numFmtId="0" xfId="0" applyAlignment="1" applyBorder="1" applyFont="1">
      <alignment horizontal="left" readingOrder="0" vertical="center"/>
    </xf>
    <xf borderId="1" fillId="0" fontId="27" numFmtId="0" xfId="0" applyAlignment="1" applyBorder="1" applyFont="1">
      <alignment readingOrder="0" shrinkToFit="0" vertical="center" wrapText="0"/>
    </xf>
    <xf borderId="1" fillId="0" fontId="4" numFmtId="0" xfId="0" applyAlignment="1" applyBorder="1" applyFont="1">
      <alignment vertical="center"/>
    </xf>
    <xf borderId="0" fillId="0" fontId="4" numFmtId="0" xfId="0" applyAlignment="1" applyFont="1">
      <alignment vertical="center"/>
    </xf>
    <xf borderId="1" fillId="0" fontId="25" numFmtId="0" xfId="0" applyAlignment="1" applyBorder="1" applyFont="1">
      <alignment readingOrder="0" shrinkToFit="0" vertical="center" wrapText="0"/>
    </xf>
    <xf borderId="0" fillId="6" fontId="4" numFmtId="0" xfId="0" applyAlignment="1" applyFill="1" applyFont="1">
      <alignment readingOrder="0" shrinkToFit="0" vertical="center" wrapText="0"/>
    </xf>
    <xf borderId="1" fillId="0" fontId="4" numFmtId="0" xfId="0" applyAlignment="1" applyBorder="1" applyFont="1">
      <alignment horizontal="left" vertical="center"/>
    </xf>
    <xf borderId="2" fillId="2" fontId="1" numFmtId="0" xfId="0" applyAlignment="1" applyBorder="1" applyFill="1" applyFont="1">
      <alignment horizontal="center" readingOrder="0" shrinkToFit="0" vertical="center" wrapText="1"/>
    </xf>
    <xf borderId="1" fillId="0" fontId="28" numFmtId="0" xfId="0" applyAlignment="1" applyBorder="1" applyFont="1">
      <alignment readingOrder="0" shrinkToFit="0" vertical="center" wrapText="0"/>
    </xf>
    <xf borderId="1" fillId="0" fontId="29" numFmtId="0" xfId="0" applyAlignment="1" applyBorder="1" applyFont="1">
      <alignment horizontal="left" readingOrder="0" vertical="center"/>
    </xf>
    <xf borderId="1" fillId="6" fontId="4" numFmtId="0" xfId="0" applyAlignment="1" applyBorder="1" applyFill="1" applyFont="1">
      <alignment horizontal="center" readingOrder="0" vertical="center"/>
    </xf>
    <xf borderId="2" fillId="0" fontId="4" numFmtId="0" xfId="0" applyAlignment="1" applyBorder="1" applyFont="1">
      <alignment horizontal="center" readingOrder="0" vertical="center"/>
    </xf>
    <xf borderId="1" fillId="7" fontId="4" numFmtId="0" xfId="0" applyAlignment="1" applyBorder="1" applyFill="1" applyFont="1">
      <alignment horizontal="center" readingOrder="0" vertical="center"/>
    </xf>
    <xf borderId="1" fillId="0" fontId="2" numFmtId="0" xfId="0" applyAlignment="1" applyBorder="1" applyFont="1">
      <alignment readingOrder="0" shrinkToFit="0" vertical="center" wrapText="0"/>
    </xf>
    <xf borderId="2" fillId="2" fontId="25" numFmtId="0" xfId="0" applyAlignment="1" applyBorder="1" applyFill="1" applyFont="1">
      <alignment readingOrder="0" shrinkToFit="0" vertical="center" wrapText="1"/>
    </xf>
    <xf borderId="0" fillId="7" fontId="4" numFmtId="0" xfId="0" applyAlignment="1" applyFill="1" applyFont="1">
      <alignment readingOrder="0" vertical="center"/>
    </xf>
    <xf borderId="2" fillId="0" fontId="2" numFmtId="0" xfId="0" applyAlignment="1" applyBorder="1" applyFont="1">
      <alignment shrinkToFit="0" vertical="center" wrapText="0"/>
    </xf>
    <xf borderId="2" fillId="8" fontId="5" numFmtId="0" xfId="0" applyAlignment="1" applyBorder="1" applyFill="1" applyFont="1">
      <alignment shrinkToFit="0" vertical="center" wrapText="1"/>
    </xf>
    <xf borderId="1" fillId="0" fontId="4" numFmtId="0" xfId="0" applyAlignment="1" applyBorder="1" applyFont="1">
      <alignment shrinkToFit="0" vertical="center" wrapText="0"/>
    </xf>
    <xf borderId="2" fillId="0" fontId="2" numFmtId="0" xfId="0" applyAlignment="1" applyBorder="1" applyFont="1">
      <alignment shrinkToFit="0" vertical="center" wrapText="1"/>
    </xf>
    <xf borderId="1" fillId="0" fontId="2" numFmtId="0" xfId="0" applyAlignment="1" applyBorder="1" applyFont="1">
      <alignment shrinkToFit="0" vertical="center" wrapText="1"/>
    </xf>
    <xf borderId="2" fillId="8" fontId="5" numFmtId="0" xfId="0" applyAlignment="1" applyBorder="1" applyFill="1" applyFont="1">
      <alignment shrinkToFit="0" vertical="center" wrapText="1"/>
    </xf>
    <xf borderId="1" fillId="9" fontId="4" numFmtId="0" xfId="0" applyAlignment="1" applyBorder="1" applyFill="1" applyFont="1">
      <alignment horizontal="center" readingOrder="0" vertical="center"/>
    </xf>
    <xf borderId="0" fillId="9" fontId="4" numFmtId="0" xfId="0" applyAlignment="1" applyFill="1" applyFont="1">
      <alignment readingOrder="0" shrinkToFit="0" vertical="center" wrapText="0"/>
    </xf>
    <xf borderId="0" fillId="0" fontId="9" numFmtId="0" xfId="0" applyAlignment="1" applyFont="1">
      <alignment horizontal="left" readingOrder="0" shrinkToFit="0" vertical="center" wrapText="0"/>
    </xf>
    <xf borderId="2" fillId="8" fontId="0" numFmtId="0" xfId="0" applyAlignment="1" applyBorder="1" applyFill="1" applyFont="1">
      <alignment shrinkToFit="0" vertical="center" wrapText="1"/>
    </xf>
    <xf borderId="4" fillId="0" fontId="4" numFmtId="0" xfId="0" applyAlignment="1" applyBorder="1" applyFont="1">
      <alignment vertical="center"/>
    </xf>
    <xf borderId="1" fillId="10" fontId="1" numFmtId="0" xfId="0" applyAlignment="1" applyBorder="1" applyFill="1" applyFont="1">
      <alignment shrinkToFit="0" vertical="center" wrapText="0"/>
    </xf>
    <xf borderId="1" fillId="10" fontId="30" numFmtId="0" xfId="0" applyAlignment="1" applyBorder="1" applyFill="1" applyFont="1">
      <alignment horizontal="left" readingOrder="0" shrinkToFit="0" vertical="center" wrapText="0"/>
    </xf>
    <xf borderId="1" fillId="10" fontId="26" numFmtId="0" xfId="0" applyAlignment="1" applyBorder="1" applyFill="1" applyFont="1">
      <alignment horizontal="center" readingOrder="0" shrinkToFit="0" vertical="center" wrapText="1"/>
    </xf>
    <xf borderId="1" fillId="10" fontId="1" numFmtId="0" xfId="0" applyAlignment="1" applyBorder="1" applyFill="1" applyFont="1">
      <alignment horizontal="left" vertical="center"/>
    </xf>
    <xf borderId="0" fillId="10" fontId="1" numFmtId="0" xfId="0" applyAlignment="1" applyFill="1" applyFont="1">
      <alignment readingOrder="0" shrinkToFit="0" vertical="center" wrapText="0"/>
    </xf>
    <xf borderId="0" fillId="10" fontId="1" numFmtId="0" xfId="0" applyAlignment="1" applyFill="1" applyFont="1">
      <alignment horizontal="center" readingOrder="0" vertical="center"/>
    </xf>
    <xf borderId="0" fillId="10" fontId="1" numFmtId="0" xfId="0" applyAlignment="1" applyFill="1" applyFont="1">
      <alignment horizontal="center" vertical="center"/>
    </xf>
    <xf borderId="0" fillId="10" fontId="1" numFmtId="0" xfId="0" applyAlignment="1" applyFill="1" applyFont="1">
      <alignment vertical="center"/>
    </xf>
    <xf borderId="1" fillId="0" fontId="30" numFmtId="0" xfId="0" applyAlignment="1" applyBorder="1" applyFont="1">
      <alignment horizontal="left" readingOrder="0" shrinkToFit="0" vertical="center" wrapText="0"/>
    </xf>
    <xf borderId="1" fillId="0" fontId="1" numFmtId="0" xfId="0" applyAlignment="1" applyBorder="1" applyFont="1">
      <alignment horizontal="left" vertical="center"/>
    </xf>
    <xf borderId="0" fillId="0" fontId="1" numFmtId="0" xfId="0" applyAlignment="1" applyFont="1">
      <alignment readingOrder="0" shrinkToFit="0" vertical="center" wrapText="0"/>
    </xf>
    <xf borderId="0" fillId="0" fontId="1" numFmtId="0" xfId="0" applyAlignment="1" applyFont="1">
      <alignment horizontal="center" readingOrder="0" vertical="center"/>
    </xf>
    <xf borderId="0" fillId="0" fontId="1" numFmtId="0" xfId="0" applyAlignment="1" applyFont="1">
      <alignment horizontal="center" shrinkToFit="0" vertical="center" wrapText="0"/>
    </xf>
    <xf borderId="2" fillId="8" fontId="25" numFmtId="0" xfId="0" applyAlignment="1" applyBorder="1" applyFill="1" applyFont="1">
      <alignment shrinkToFit="0" vertical="center" wrapText="1"/>
    </xf>
    <xf borderId="0" fillId="0" fontId="4" numFmtId="0" xfId="0" applyAlignment="1" applyFont="1">
      <alignment horizontal="left" readingOrder="0" shrinkToFit="0" vertical="center" wrapText="0"/>
    </xf>
    <xf borderId="1" fillId="0" fontId="4" numFmtId="0" xfId="0" applyAlignment="1" applyBorder="1" applyFont="1">
      <alignment horizontal="left" readingOrder="0" shrinkToFit="0" vertical="center" wrapText="0"/>
    </xf>
    <xf borderId="0" fillId="0" fontId="4" numFmtId="0" xfId="0" applyAlignment="1" applyFont="1">
      <alignment shrinkToFit="0" vertical="center"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0"/>
    </xf>
    <xf borderId="0" fillId="0" fontId="4" numFmtId="0" xfId="0" applyAlignment="1" applyFont="1">
      <alignment horizontal="left" readingOrder="0" vertical="center"/>
    </xf>
    <xf borderId="2" fillId="0" fontId="25" numFmtId="0" xfId="0" applyAlignment="1" applyBorder="1" applyFont="1">
      <alignment shrinkToFit="0" vertical="center" wrapText="1"/>
    </xf>
    <xf borderId="1" fillId="0" fontId="31" numFmtId="0" xfId="0" applyAlignment="1" applyBorder="1" applyFont="1">
      <alignment readingOrder="0" shrinkToFit="0" vertical="center" wrapText="0"/>
    </xf>
  </cellXfs>
  <cellStyles count="1">
    <cellStyle xfId="0" name="Normal" builtinId="0"/>
  </cellStyles>
  <dxfs count="6">
    <dxf>
      <font/>
      <fill>
        <patternFill patternType="solid">
          <fgColor rgb="FFFF9900"/>
          <bgColor rgb="FFFF99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TALLE POR ZONAS-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281" sheet="LISTA DE CURSOS"/>
  </cacheSource>
  <cacheFields>
    <cacheField name="CURSO (74 cursos ok)" numFmtId="0">
      <sharedItems containsBlank="1">
        <s v="01- MANEJO DE EPPS SEGÚN LA NORMA TÉCNICA PERUANA LEY 29783"/>
        <m/>
        <s v="02- IMPLEMENTACIÓN DE MEDIDAS DE CONTROL EN RIESGOS MINEROS"/>
        <s v="03- ERGONOMÍA Y SALUD OCUPACIONAL EN EL SECTOR MINERO E INDUSTRIAL"/>
        <s v="04- MARCO JURÍDICO Y NORMATIVO DE LA MINERÍA"/>
        <s v="05- GESTIÓN DE PROVEEDORES EN MINERÍA"/>
        <s v="06- CONTROL DE COSTOS EN ALMACENES MINEROS"/>
        <s v="07- LOGÍSTICA Y DISTRIBUCIÓN EN LA INDUSTRIA Y MINERÍA"/>
        <s v="08- CONTRATOS EN LA INDUSTRIA MINERA"/>
        <s v="09- DERECHOS HUMANOS EN MINERÍA"/>
        <s v="10- GESTIÓN DE TRABAJO EN ALTO RIESGO EN MINERÍA"/>
        <s v="11- RESPONSABILIDAD PENAL EN MINERÍA"/>
        <s v="12- DERECHO LABORAL EN MINERÍA"/>
        <s v="13- TIPOS DE CONCESIONES MINERAS"/>
        <s v="14- GESTIÓN DE CONTRATOS LOGÍSTICOS EN LA INDUSTRIA Y MINERÍA"/>
        <s v="15- CURSO DE PREVENCIÓN DE RIESGOS"/>
        <s v="16- IMPLEMENTACIÓN DE LA ISO 45001:2018"/>
        <s v="17- GESTIÓN DE EMERGENCIAS EN INDUSTRIA Y MINERÍA"/>
        <s v="18- GESTIÓN DE INVENTARIOS EN INDUSTRIA Y MINERÍA"/>
        <s v="19- CONTROL FINANCIERO EN ALMACENES"/>
        <s v="20- LOGÍSTICA INTERNA EN CONTROL DE ALMACENES"/>
        <s v="21- FUNDAMENTOS DE BIG DATA"/>
        <s v="22- MÉTODOS DE CAPTURA DE INFORMACIÓN EN BIG DATA"/>
        <s v="23- TENDENCIAS 2025-2026: CLAVES DE BIG DATA"/>
        <s v="24- BIG DATA: TRANSFORMACIÓN DE DATOS (PYTHON Y R)"/>
        <s v="25- MINERÍA 4.0 ESSENTIALS: NUEVAS HERRAMIENTAS"/>
        <s v="26- INNOVACIÓN EN MINERÍA: APLICACIONES DE INTELIGENCIA ARTIFICIAL"/>
        <s v="27- AUTOMATIZACIÓN 4.0 EN PROCESOS MINEROS"/>
        <s v="28- CADENA DE SUMINISTRO LOGÍSTICA Y DISTRIBUCIÓN"/>
        <s v="29- MEJORA DE LOS MÉTODOS Y MEDICIÓN DE LOS RECURSOS"/>
        <s v="30- INTRODUCCIÓN A LA GESTIÓN DE PROYECTOS"/>
        <s v="31- ARQUITECTURA DE DATOS: LA IMPORTANCIA DEL DISEÑO, COMPONENTES, FUNCIÓN, CONFIGURACIÓN Y PATRONES"/>
        <s v="32- ECOSISTEMA BIG DATA: HERRAMIENTAS Y TECNOLOGÍAS ESENCIALES"/>
        <s v="33- INTRODUCCIÓN A MACHINE LEARNING PARA BIG DATA"/>
        <s v="34- PROYECTOS CON HERRAMIENTAS DIGITALES PARA MINERÍA"/>
        <s v="35- INTRODUCCIÓN A MACHINE LEARNING EN MINERÍA"/>
        <s v="36- TIPOS DE INTELIGENCIA ARTIFICIAL APLICADAS A LA MINERÍA"/>
        <s v="37- HERRAMIENTAS DE BIG DATA APLICADA A MINERÍA"/>
        <s v="38- GESTIÓN AVANZADA DE OPERACIONES INDUSTRIALES"/>
        <s v="39- BIG DATA APLICADA A PROCESOS INDUSTRIALES"/>
        <s v="40- CONTROL DE COSTOS EN PRODUCCIÓN INDUSTRIAL O EN ÁREAS DE PRODUCCIÓN"/>
        <s v="41- IMPORTACIÓN Y EXPORTACIÓN DESDE 0: CLAVES PARA EL ÉXITO"/>
        <s v="42- IMPLEMENTACIÓN DE LA NORMA ISO 9001:2015 "/>
        <s v="43- ANÁLISIS DE MERCADOS INTERNACIONALES: ESTRATEGIAS DE IMPORTACIÓN Y EXPORTACIÓN 2025-2026"/>
        <s v="44- DE LA IMPORTACIÓN A LA VENTA ONLINE: IMPLEMENTA TU TIENDA VIRTUAL DESDE CERO"/>
        <s v="45- CONTROL Y SUPERVISIÓN DE PROCESOS CON SOFTWARE SCADA"/>
        <s v="46- GESTIÓN DE OPERACIONES Y PROCESOS EN LA MINERÍA"/>
        <s v="47- PIRÁMIDE DE PROCESOS: TÉCNICAS DE CONTROL EN MINERÍA"/>
        <s v="48- PROCESO DE OPTIMIZACIÓN DEL MANTENIMIENTO A PARTIR DEL USO DE TÉCNICAS DE LA INDUSTRIA 4.0"/>
        <s v="49- SISTEMAS INTEGRADOS PARA LA GESTIÓN DE MANTENIMIENTO"/>
        <s v="50- ESTÁNDARES Y SISTEMA DE CALIDAD DEL MANTENIMIENTO"/>
        <s v="51- DOCUMENTACIÓN Y TRÁMITES ADUANEROS"/>
        <s v="52- REVISIÓN DE PROVEEDORES PARA EVITAR ESTAFAS EN IMPORTACIONES CHINAS"/>
        <s v="53- PLANIFICACIÓN DE RIESGOS PARA IMPORTACIÓN Y EXPORTACIÓN"/>
        <s v="54- CONTROL DE CALIDAD EN PROCESOS MINEROS"/>
        <s v="55- MONITOREO Y CONTROL EN LA OPERACIÓN DE PLANTAS MINERAS"/>
        <s v="56- SOSTENIBILIDAD Y SEGURIDAD EN CAMPAMENTOS MINEROS"/>
        <s v="57- ANÁLISIS DE DATOS PARA OPTIMIZAR OPERACIONES MINERAS"/>
        <s v="58- SEGURIDAD Y CONTROL AMBIENTAL EN EL MANTENIMIENTO"/>
        <s v="59- GERENCIA DE PROYECTOS DEL MANTENIMIENTO"/>
        <s v="60- GESTIÓN DE COSTOS DEL MANTENIMIENTO EN LA INDUSTRIA 4.0"/>
        <s v="61- SOSTENIBILIDAD Y MINERÍA RESPONSABLE"/>
        <s v="62- PRIMEROS AUXILIOS EN MINERÍA"/>
        <s v="63- INDICADORES CLAVE (KPIS) PARA LA CADENA DE ABASTECIMIENTOS"/>
        <s v="64- EXPLORACIÓN MINERA Y EVALUACIÓN DE YACIMIENTOS"/>
        <s v="65- REQUISITOS CLAVE DE ISO 14001 Y CÓMO APLICARLOS EN LA EMPRESA"/>
        <s v="66- SISTEMAS INTEGRADOS DE GESTIÓN HSEQ (ISO 9001, 14001, 45001)"/>
        <s v="67- GESTIÓN DE CRISIS Y MANEJO DE CONFLICTOS EN AMBIENTES INDUSTRIALES"/>
        <s v="68- PLANIFICACIÓN ESTRATÉGICA Y BALANCED SCORECARD"/>
        <s v="69- GESTIÓN DE LA ENERGÍA EN OPERACIONES MINERAS"/>
        <s v="70- GESTIÓN DE LA CADENA DE SUMINISTRO EN EMPRESAS MINERAS"/>
        <s v="71- SEGURIDAD Y NORMATIVA EN EL CONTROL DE INVENTARIO Y LOGÍSTICA MINERA"/>
        <s v="72- SALUD MENTAL EN EL TRABAJO: DETECCIÓN Y PREVENCIÓN DE TRASTORNOS PSICOLÓGICOS"/>
        <s v="73- IMPLEMENTACIÓN DE LEAN MANUFACTURING EN PROCESOS INDUSTRIALES"/>
        <s v="74- ERGONOMÍA Y DISEÑO DE PUESTOS DE TRABAJO EN LA INDUSTRIA"/>
        <s v="75- GESTIÓN DE SEGURIDAD DURANTE LAS PARADAS DE PLANTA Y MANTENIMIENTO"/>
        <s v="76- GESTIÓN DE RELAVES Y RESIDUOS MINEROS"/>
      </sharedItems>
    </cacheField>
    <cacheField name="CURSO" numFmtId="0">
      <sharedItems containsBlank="1">
        <s v="MANEJO DE EPPS SEGÚN LA NORMA TÉCNICA PERUANA LEY 29783"/>
        <m/>
        <s v="IMPLEMENTACIÓN DE MEDIDAS DE CONTROL EN RIESGOS MINEROS"/>
        <s v="ERGONOMÍA Y SALUD OCUPACIONAL EN EL SECTOR MINERO E INDUSTRIAL"/>
        <s v="MARCO JURÍDICO Y NORMATIVO DE LA MINERÍA"/>
        <s v="GESTIÓN DE PROVEEDORES EN MINERÍA"/>
        <s v="CONTROL DE COSTOS EN ALMACENES MINEROS"/>
        <s v="LOGÍSTICA Y DISTRIBUCIÓN EN LA INDUSTRIA Y MINERÍA"/>
        <s v="CONTRATOS EN LA INDUSTRIA MINERA"/>
        <s v="DERECHOS HUMANOS EN MINERÍA"/>
        <s v="GESTIÓN DE TRABAJO EN ALTO RIESGO EN MINERÍA"/>
        <s v="RESPONSABILIDAD PENAL EN MINERÍA"/>
        <s v="DERECHO LABORAL EN MINERÍA"/>
        <s v="TIPOS DE CONCESIONES MINERAS"/>
        <s v="GESTIÓN DE CONTRATOS LOGÍSTICOS EN LA INDUSTRIA Y MINERÍA"/>
        <s v="CURSO DE PREVENCIÓN DE RIESGOS"/>
        <s v="IMPLEMENTACIÓN DE LA ISO 45001:2018"/>
        <s v="GESTIÓN DE EMERGENCIAS EN INDUSTRIA Y MINERÍA"/>
        <s v="GESTIÓN DE INVENTARIOS EN INDUSTRIA Y MINERÍA"/>
        <s v="CONTROL FINANCIERO EN ALMACENES"/>
        <s v="LOGÍSTICA INTERNA EN CONTROL DE ALMACENES"/>
        <s v="FUNDAMENTOS DE BIG DATA"/>
        <s v="MÉTODOS DE CAPTURA DE INFORMACIÓN EN BIG DATA"/>
        <s v="TENDENCIAS 2025-2026: CLAVES DE BIG DATA"/>
        <s v="BIG DATA: TRANSFORMACIÓN DE DATOS (PYTHON Y R)"/>
        <s v="MINERÍA 4.0 ESSENTIALS: NUEVAS HERRAMIENTAS"/>
        <s v="INNOVACIÓN EN MINERÍA: APLICACIONES DE INTELIGENCIA ARTIFICIAL"/>
        <s v="AUTOMATIZACIÓN 4.0 EN PROCESOS MINEROS"/>
        <s v="CADENA DE SUMINISTRO LOGÍSTICA Y DISTRIBUCIÓN"/>
        <s v="MEJORA DE LOS MÉTODOS Y MEDICIÓN DE LOS RECURSOS"/>
        <s v="INTRODUCCIÓN A LA GESTIÓN DE PROYECTOS"/>
        <s v="ARQUITECTURA DE DATOS: LA IMPORTANCIA DEL DISEÑO, COMPONENTES, FUNCIÓN, CONFIGURACIÓN Y PATRONES"/>
        <s v="ECOSISTEMA BIG DATA: HERRAMIENTAS Y TECNOLOGÍAS ESENCIALES"/>
        <s v="INTRODUCCIÓN A MACHINE LEARNING PARA BIG DATA"/>
        <s v="PROYECTOS CON HERRAMIENTAS DIGITALES PARA MINERÍA"/>
        <s v="INTRODUCCIÓN A MACHINE LEARNING EN MINERÍA"/>
        <s v="TIPOS DE INTELIGENCIA ARTIFICIAL APLICADAS A LA MINERÍA"/>
        <s v="HERRAMIENTAS DE BIG DATA APLICADA A MINERÍA"/>
        <s v="GESTIÓN AVANZADA DE OPERACIONES INDUSTRIALES"/>
        <s v="BIG DATA APLICADA A PROCESOS INDUSTRIALES"/>
        <s v="CONTROL DE COSTOS EN PRODUCCIÓN INDUSTRIAL O EN ÁREAS DE PRODUCCIÓN"/>
        <s v="IMPORTACIÓN Y EXPORTACIÓN DESDE 0: CLAVES PARA EL ÉXITO"/>
        <s v="IMPLEMENTACIÓN DE LA NORMA ISO 9001:2015"/>
        <s v="ANÁLISIS DE MERCADOS INTERNACIONALES: ESTRATEGIAS DE IMPORTACIÓN Y EXPORTACIÓN 2025-2026"/>
        <s v="DE LA IMPORTACIÓN A LA VENTA ONLINE: IMPLEMENTA TU TIENDA VIRTUAL DESDE CERO"/>
        <s v="CONTROL Y SUPERVISIÓN DE PROCESOS CON SOFTWARE SCADA"/>
        <s v="GESTIÓN DE OPERACIONES Y PROCESOS EN LA MINERÍA"/>
        <s v="PIRÁMIDE DE PROCESOS: TÉCNICAS DE CONTROL EN MINERÍA"/>
        <s v="PROCESO DE OPTIMIZACIÓN DEL MANTENIMIENTO A PARTIR DEL USO DE TÉCNICAS DE LA INDUSTRIA 4.0"/>
        <s v="SISTEMAS INTEGRADOS PARA LA GESTIÓN DE MANTENIMIENTO"/>
        <s v="ESTÁNDARES Y SISTEMA DE CALIDAD DEL MANTENIMIENTO"/>
        <s v="DOCUMENTACIÓN Y TRÁMITES ADUANEROS"/>
        <s v="REVISIÓN DE PROVEEDORES PARA EVITAR ESTAFAS EN IMPORTACIONES CHINAS"/>
        <s v="PLANIFICACIÓN DE RIESGOS PARA IMPORTACIÓN Y EXPORTACIÓN"/>
        <s v="CONTROL DE CALIDAD EN PROCESOS MINEROS"/>
        <s v="MONITOREO Y CONTROL EN LA OPERACIÓN DE PLANTAS MINERAS"/>
        <s v="SOSTENIBILIDAD Y SEGURIDAD EN CAMPAMENTOS MINEROS"/>
        <s v="ANÁLISIS DE DATOS PARA OPTIMIZAR OPERACIONES MINERAS"/>
        <s v="SEGURIDAD Y CONTROL AMBIENTAL EN EL MANTENIMIENTO"/>
        <s v="GERENCIA DE PROYECTOS DEL MANTENIMIENTO"/>
        <s v="GESTIÓN DE COSTOS DEL MANTENIMIENTO EN LA INDUSTRIA 4.0"/>
        <s v="SOSTENIBILIDAD Y MINERÍA RESPONSABLE"/>
        <s v="PRIMEROS AUXILIOS EN MINERÍA"/>
        <s v="INDICADORES CLAVE (KPIS) PARA LA CADENA DE ABASTECIMIENTOS"/>
        <s v="EXPLORACIÓN MINERA Y EVALUACIÓN DE YACIMIENTOS"/>
        <s v="REQUISITOS CLAVE DE ISO 14001 Y CÓMO APLICARLOS EN LA EMPRESA"/>
        <s v="SISTEMAS INTEGRADOS DE GESTIÓN HSEQ (ISO 9001, 14001, 45001)"/>
        <s v="GESTIÓN DE CRISIS Y MANEJO DE CONFLICTOS EN AMBIENTES INDUSTRIALES"/>
        <s v="PLANIFICACIÓN ESTRATÉGICA Y BALANCED SCORECARD"/>
        <s v="GESTIÓN DE LA ENERGÍA EN OPERACIONES MINERAS"/>
        <s v="GESTIÓN DE LA CADENA DE SUMINISTRO EN EMPRESAS MINERAS"/>
        <s v="SEGURIDAD Y NORMATIVA EN EL CONTROL DE INVENTARIO Y LOGÍSTICA MINERA"/>
        <s v="SALUD MENTAL EN EL TRABAJO: DETECCIÓN Y PREVENCIÓN DE TRASTORNOS PSICOLÓGICOS"/>
        <s v="IMPLEMENTACIÓN DE LEAN MANUFACTURING EN PROCESOS INDUSTRIALES"/>
        <s v="ERGONOMÍA Y DISEÑO DE PUESTOS DE TRABAJO EN LA INDUSTRIA"/>
        <s v="GESTIÓN DE SEGURIDAD DURANTE LAS PARADAS DE PLANTA Y MANTENIMIENTO"/>
        <s v="GESTIÓN DE RELAVES Y RESIDUOS MINEROS"/>
      </sharedItems>
    </cacheField>
    <cacheField name="REVISADOS PARA SUBIR" numFmtId="0">
      <sharedItems containsBlank="1">
        <s v="Si"/>
        <m/>
        <s v="No subir"/>
      </sharedItems>
    </cacheField>
    <cacheField name="ASIGNADO" numFmtId="0">
      <sharedItems containsBlank="1">
        <s v="Si"/>
        <m/>
      </sharedItems>
    </cacheField>
    <cacheField name="SUBIDO A SKOOL" numFmtId="0">
      <sharedItems containsBlank="1">
        <s v="Si"/>
        <m/>
      </sharedItems>
    </cacheField>
    <cacheField name="CREACIÓN DE CURSO EN SKOOL" numFmtId="0">
      <sharedItems containsBlank="1">
        <s v="SEGURIDAD Y MINERÍA INTELIGENTE "/>
        <m/>
        <s v="GESTIÓN MINERA"/>
        <s v="LOGISTICA MINERA"/>
        <s v="GESTIÓN AMBIENTAL SOSTENIBLE "/>
        <s v="GEO MINERA"/>
        <s v="GEO MINERA/ GESTIÓN AMBIENTAL SOSTENIBLE"/>
      </sharedItems>
    </cacheField>
    <cacheField name="CREACIÓN DE CURSO EN Q10" numFmtId="0">
      <sharedItems containsBlank="1">
        <s v="Si"/>
        <m/>
      </sharedItems>
    </cacheField>
    <cacheField name="CLASE" numFmtId="0">
      <sharedItems containsBlank="1">
        <s v="👉🏻 Clase 1: https://youtube.com/live/dJWHecyW_-I?feature=share"/>
        <s v="👉🏻 Clase 2: https://youtube.com/live/OXb7rpvAm4I?feature=share"/>
        <s v="👉🏻 Clase 3: https://youtube.com/live/1lI7DvubMUM?feature=share"/>
        <s v="👉🏻 Clase 4: https://youtube.com/live/AGtFQ3G1FCU?feature=share"/>
        <s v="👉🏻 Clase 1: https://youtube.com/live/ezIG1eilHYg?feature=share"/>
        <s v="👉🏻 Clase 2: https://youtube.com/live/WzfXRcMAedg?feature=share"/>
        <s v="👉🏻 Clase 3: https://youtube.com/live/l3d1FJjsBnI?feature=share"/>
        <s v="👉🏻 Clase 4: https://youtube.com/live/iGRxLKNnaT8?feature=share"/>
        <s v="👉🏻 Clase 1: https://youtube.com/live/Kwp1T7tc7n0?feature=share"/>
        <s v="👉🏻 Clase 2: https://youtube.com/live/-XxNjC5YTWU?feature=share"/>
        <s v="👉🏻 Clase 3: https://youtube.com/live/UlFAlcui1Iw?feature=share"/>
        <s v="👉🏻 Clase 4: https://youtube.com/live/424PbUvthZ0?feature=share"/>
        <s v="👉🏻 Clase 1: https://youtube.com/live/d7f0Jg7Y5YY?feature=share"/>
        <s v="👉🏻 Clase 2: https://youtube.com/live/z0JpdWvpsM8?feature=share"/>
        <s v="👉🏻 Clase 3: https://youtube.com/live/jpXPolJzulY?feature=share"/>
        <s v="👉🏻 Clase 4: https://youtube.com/live/wAlBvkZn5Jg?feature=share"/>
        <s v="👉🏻 Clase 1: https://youtube.com/live/ezlES8BVzMo?feature=share"/>
        <s v="👉🏻 Clase 2: https://youtube.com/live/InTwibl_aG8?feature=share"/>
        <s v="👉🏻 Clase 3: https://youtube.com/live/uGZhhP7DREQ?feature=share"/>
        <s v="👉🏻 Clase 4: https://youtube.com/live/uel312Qq5hM?feature=share"/>
        <s v="👉🏻 Clase 1: https://www.youtube.com/live/UXUGUUqg5P4?"/>
        <s v="👉🏻 Clase 2: https://www.youtube.com/live/_MiGhWoqWqY?"/>
        <s v="👉🏻 Clase 3: https://www.youtube.com/live/jl44NKscLu8?"/>
        <s v="👉🏻 Clase 4: https://youtube.com/live/jghOVERkJKw?feature=share"/>
        <s v="👉🏻 Clase 1: https://www.youtube.com/live/07FOszC5N2U?"/>
        <s v="👉🏻 Clase 2: https://www.youtube.com/live/6Ms87Rq4c30?"/>
        <s v="👉🏻 Clase 3: https://www.youtube.com/live/tE9ceLJvHwU?"/>
        <s v="👉🏻 Clase 4: https://youtube.com/live/mNqKgdl6Tzs?feature=share"/>
        <s v="👉🏻 Clase 1: https://youtube.com/live/rmg-UHlIzoA?feature=share"/>
        <s v="👉🏻 Clase 2: https://youtube.com/live/9NsuHQy0QC8?feature=share"/>
        <s v="👉🏻 Clase 3: https://youtube.com/live/aHoENZaJGAw?feature=share"/>
        <s v="👉🏻 Clase 4: https://youtube.com/live/Ti4OsD_8CUA?feature=share"/>
        <s v="👉🏻 Clase 1: https://youtube.com/live/ozB-gIAstz8?feature=share"/>
        <s v="👉🏻 Clase 2: https://youtube.com/live/fyNAO5zb9sU?feature=share"/>
        <s v="👉🏻 Clase 3: https://youtube.com/live/b7dUQkR3am0?feature=share"/>
        <s v="👉🏻 Clase 4: https://youtube.com/live/nGgUIA2w3YI?feature=share"/>
        <s v="👉🏻 *Clase 1:*https://youtube.com/live/OVUzg3BcNxs?feature=share"/>
        <s v="👉🏻 Clase 2: https://youtube.com/live/z3OXjK4mn3M?feature=share"/>
        <s v="👉🏻 Clase 3: https://youtube.com/live/k7pYtlmoTgY?feature=share"/>
        <s v="👉🏻 Clase 4: https://youtube.com/live/1ngKQh_nKpA?feature=share"/>
        <s v="👉🏻 Clase 1: https://www.youtube.com/live/WT87cCEYFRM?"/>
        <s v="👉🏻 Clase 2: https://youtube.com/live/1WFr2u8rKSU?feature=share"/>
        <s v="👉🏻 Clase 3: https://youtube.com/live/kyaj0F42pTU?feature=share"/>
        <s v="👉🏻 Clase 4: https://youtube.com/live/qdC2jgv49og?feature=share"/>
        <s v="👉🏻 Clase 1: https://youtube.com/live/jLeuaX-G3Hs?"/>
        <s v="👉🏻 Clase 2: https://youtube.com/live/LD6oSbGfkFU?"/>
        <s v="👉🏻 Clase 3: https://youtube.com/live/F71dYyft28g?"/>
        <s v="👉🏻 Clase 4: https://youtube.com/live/aQYZnNVqr2c?"/>
        <s v="👉🏻 Clase 1: https://youtube.com/live/cDn_mKRjs_w?feature=share"/>
        <s v="👉🏻 Clase 2: https://youtube.com/live/Y_O1pmn5AI0?feature=share"/>
        <s v="👉🏻 Clase 3: https://youtube.com/live/aoz3cGZ19QA?feature=share"/>
        <s v="👉🏻 Clase 4: https://youtube.com/live/mC3gBQbSi8E?feature=share"/>
        <s v="👉🏻 Clase 1: https://youtube.com/live/Axdv633ShjY?"/>
        <s v="👉🏻 Clase 2: https://youtube.com/live/M8p1LNfXxbQ?"/>
        <s v="👉🏻 Clase 3: https://youtube.com/live/n5z9gs_SSEQ?"/>
        <s v="👉🏻 Clase 4: https://youtube.com/live/vlHcoDpvB5c?"/>
        <s v="👉🏻 Clase 1: https://www.youtube.com/live/p1a7r_YmrdA?"/>
        <s v="👉🏻 Clase 2: https://www.youtube.com/live/0FfbK6RZ22M?"/>
        <s v="👉🏻 Clase 3: https://youtube.com/live/HqDKhmbPYno?feature=share"/>
        <s v="👉🏻 Clase 4: https://youtube.com/live/NWAm7TKvVXg?feature=share"/>
        <s v="👉🏻 Clase 1: https://youtube.com/live/TO8myacc6OY?feature=share"/>
        <s v="👉🏻 Clase 2: https://www.youtube.com/live/E6FpvYBkSKw?"/>
        <s v="👉🏻 Clase 3: https://youtube.com/live/HlQkA5dlHf4?"/>
        <s v="👉🏻 Clase 4: https://youtube.com/live/E9Xsqn780Xg?feature=share"/>
        <s v="👉🏻 Clase 1: https://youtube.com/live/mb0L2PI7s_c?feature=share"/>
        <s v="👉🏻 Clase 2: https://youtube.com/live/IL_gbYIdcoo?feature=share"/>
        <s v="👉🏻 Clase 3: https://youtube.com/live/JuTDWiaNQ_Q?feature=share"/>
        <s v="👉🏻 Clase 4: https://youtube.com/live/KCi0XIqlWfw?feature=share"/>
        <s v="👉🏻 Clase 1: https://youtube.com/live/tQ53yAu_Zf4?"/>
        <s v="👉🏻 Clase 2: https://youtube.com/live/LN9iVEIEs9U?"/>
        <s v="👉🏻 Clase 3: https://youtube.com/live/3HL99bvtxyI?"/>
        <s v="👉🏻 Clase 4: https://youtube.com/live/iOqVUVy_u94?"/>
        <s v="👉🏻 Clase 1: https://youtube.com/live/ismQD4kej3E?feature=share"/>
        <s v="👉🏻 Clase 2: https://youtube.com/live/k5joz3niO10?feature=share"/>
        <s v="👉🏻 Clase 3: https://youtube.com/live/FLzgNFkWFE4?feature=share"/>
        <s v="👉🏻 Clase 4: https://youtube.com/live/cjKaqGPSzyQ?feature=share"/>
        <s v="👉🏻 Clase 1: https://youtube.com/live/iNsT-mga0Jk?"/>
        <s v="👉🏻 Clase 2: https://youtube.com/live/ASZqEEqOoFs?"/>
        <s v="👉🏻 Clase 3: https://youtube.com/live/0XyYPcF1u6s?"/>
        <s v="👉🏻 Clase 4: https://youtube.com/live/22xY82kg2rA?"/>
        <s v="👉🏻 Clase 1: https://youtube.com/live/ySMqrteo540?feature=share"/>
        <s v="👉🏻 Clase 2: https://youtube.com/live/zTewunME6AY?feature=share"/>
        <s v="👉🏻 Clase 3: https://youtube.com/live/6mA1GD-i6WE?feature=share"/>
        <s v="👉🏻 Clase 4: https://youtube.com/live/O_0aE-2oXcI?feature=share"/>
        <s v="👉🏻 Clase 1: https://youtube.com/live/_oPHB7b9QbU?feature=share"/>
        <s v="👉🏻 Clase 2: https://youtube.com/live/Q0gav66aYsc?feature=share"/>
        <s v="👉🏻 Clase 3: https://youtube.com/live/fGHmtkOpr2E?feature=share"/>
        <s v="👉🏻 Clase 4: https://youtube.com/live/loHNhtOyWGQ?feature=share"/>
        <s v="https://youtube.com/live/vHakGwlRd4o?"/>
        <s v="https://youtube.com/live/bqfapBBDPH8?"/>
        <m/>
        <s v="👉🏻 Clase 1: https://youtube.com/live/apRGBH5tLg0?feature=share"/>
        <s v="👉🏻 Clase 2: https://youtube.com/live/dWSqXshSziY?feature=share"/>
        <s v="👉🏻 Clase 3: https://youtube.com/live/CY1sqGGp4yw?feature=share"/>
        <s v="👉🏻 Clase 4: https://youtube.com/live/D0C5UDynUsg?feature=share"/>
        <s v="👉🏻 Clase 1: https://youtube.com/live/k5LI3M-_mmI?feature=share"/>
        <s v="👉🏻 Clase 2: https://youtube.com/live/jkqBPjH-peY?feature=share"/>
        <s v="👉🏻 Clase 3: https://youtube.com/live/vzYSSY4fSkU?feature=share"/>
        <s v="👉🏻 Clase 4: https://youtube.com/live/58fa1BYLZ4I?feature=share"/>
        <s v="👉🏻 Clase 1:https://youtube.com/live/PIdyKVEYGtE?feature=share"/>
        <s v="https://youtube.com/live/DoOanHA3LSQ?"/>
        <s v="👉🏻 Clase 3: https://youtube.com/live/_86rzleYb-o?feature=share"/>
        <s v="👉🏻 Clase 4: https://youtube.com/live/EUetwM-YPOc?feature=share"/>
        <s v="👉🏻 Clase 1: https://youtube.com/live/0ElbNyPBwtM?feature=share"/>
        <s v="👉🏻 Clase 2: https://youtube.com/live/h_TQ1jvN12s?feature=share"/>
        <s v="👉🏻 Clase 3: https://youtube.com/live/rbPA4IRapII?feature=share"/>
        <s v="👉🏻 Clase 4: https://youtube.com/live/sEjoIrWkxiI?feature=share"/>
        <s v="👉🏻 Clase 1: https://youtube.com/live/gCgiRZk59tw?feature=share"/>
        <s v="👉🏻 Clase 2: https://youtube.com/live/U9puCgZI0jA?feature=share"/>
        <s v="👉🏻 Clase 3: https://youtube.com/live/vkbMBFcq3Kg?feature=share"/>
        <s v="👉🏻Clase 4; https://youtube.com/live/TmsPeJtt6-I?feature=share"/>
        <s v="👉🏻 Clase 1: https://youtube.com/live/-J8t1GpTXog?"/>
        <s v="👉🏻 Clase 2: https://youtube.com/live/yFPOkT6G14I?"/>
        <s v="👉🏻 Clase 3: https://youtube.com/live/kjR39tM2ayw?"/>
        <s v="👉🏻 Clase 4: https://youtube.com/live/ASmOYrJU964?"/>
        <s v="👉🏻 Clase 1: https://youtube.com/live/DRQa8OGwsCg?feature=share"/>
        <s v="👉🏻 Clase 2: https://www.youtube.com/live/5QfpFKXkod8?"/>
        <s v="👉🏻 Clase 3: https://youtube.com/live/GL8EbzyF4ck?feature=share"/>
        <s v="👉🏻 Clase 4 https://youtube.com/live/QO3y3kPZzgs?feature=share"/>
        <s v="👉🏻 Clase 1: https://youtube.com/live/Sq9R4XgMZCU?feature=share"/>
        <s v="👉🏻 Clase 2: https://youtube.com/live/O51p2hacKno?feature=share"/>
        <s v="👉🏻 Clase 3: https://youtube.com/live/eTGJR9dFGYs?feature=share"/>
        <s v="👉🏻 Clase 4: https://youtube.com/live/q3mJ97iNiU0?feature=share"/>
        <s v="👉🏻 Clase 1: https://youtube.com/live/j-4sVmTg4Bg?feature=share"/>
        <s v="👉🏻 Clase 2: https://youtube.com/live/5TkpFvGchEM?feature=share"/>
        <s v="👉🏻 Clase 3: https://youtube.com/live/vthtLc8S5Lk?feature=share"/>
        <s v="👉🏻 Clase 4: https://youtube.com/live/ypqvFWMQgHU?feature=share"/>
        <s v="https://youtube.com/live/pRsYzX1HU68?"/>
        <s v="https://youtube.com/live/cvNbOE_UfuU?"/>
        <s v="https://youtube.com/live/m7zFyn-BtKs?"/>
        <s v="https://youtube.com/live/l1PKRWjuX98?"/>
        <s v="👉🏻 Clase 1: https://youtube.com/live/SlSMOt9WP5s?feature=share"/>
        <s v="👉🏻 Clase 2: https://youtube.com/live/LFiqv1kn2rA?feature=share"/>
        <s v="👉🏻 Clase 3: https://youtube.com/live/gUL83cHJnCM?feature=share"/>
        <s v="👉🏻 Clase 4: https://youtube.com/live/ColOytJoFSM?feature=share"/>
        <s v="👉🏻 Clase 1: https://www.youtube.com/watch?v=pRsYzX1HU68"/>
        <s v="👉🏻 Clase 2: https://youtube.com/live/E-csFjxgpCU?feature=share"/>
        <s v="👉🏻 Clase 4: https://youtube.com/live/l1PKRWjuX98?feature=share "/>
        <s v="👉🏻 Clase 1: https://youtube.com/live/UB05S62ivEA?feature=share"/>
        <s v="👉🏻 Clase 2: https://youtube.com/live/qYuBFG0ohv4?feature=share"/>
        <s v="👉🏻 Clase 3: https://youtube.com/live/wFfzwVJzat8?feature=share"/>
        <s v="https://youtube.com/live/Guf9n2TbwXI?"/>
        <s v="https://youtube.com/live/dhyD_UoqH1U?"/>
        <s v="👉🏻 Clase 1: https://youtube.com/live/Tf_8cAbgV_Q?"/>
        <s v="👉🏻 Clase 2: https://youtube.com/live/9kCOepysZo0?"/>
        <s v="👉🏻 Clase 3: https://youtube.com/live/uWBJbS-Vz4M?"/>
        <s v="👉🏻 Clase 4: https://youtube.com/live/sGOn3YPoMJw?feature=share"/>
        <s v="👉🏻 Clase 1: https://youtube.com/live/oBuVgNIC1Gk?feature=share"/>
        <s v="👉🏻 Clase 2: https://youtube.com/live/1hCY_IUCXzc?feature=share"/>
        <s v="👉🏻 Clase 3: https://youtube.com/live/2CmWw6IXfPc?feature=share"/>
        <s v="👉🏻 Clase 4: https://youtube.com/live/dTsO9XHFhuY?feature=share"/>
        <s v="👉🏻 Clase 1: https://youtube.com/live/e7kJA_0GDJ4?"/>
        <s v="👉🏻 Clase 2: https://youtube.com/live/-nNdpfMN2Vg?"/>
        <s v="👉🏻 Clase 3: https://youtube.com/live/3oXKrXXkfaA?"/>
        <s v="👉🏻 Clase 4: https://youtube.com/live/Cv_RlmqXSZk?"/>
        <s v="👉🏻 Clase 1: https://youtube.com/live/hmEevJCvEyQ?feature=share"/>
        <s v="👉🏻 Clase 2: https://youtube.com/live/izrq5fGiM28?feature=share"/>
        <s v="👉🏻 Clase 3: https://youtube.com/live/z9TnWuNNVjY?feature=share"/>
        <s v="👉🏻 Clase 4: https://youtube.com/live/2cN7a5yrktM?feature=share"/>
        <s v="👉🏻 Clase 1: https://youtube.com/live/pr5NN0hn5ww?feature=share"/>
        <s v="👉🏻 Clase 2: https://youtube.com/live/1b4z9bkAack?feature=share"/>
        <s v="👉🏻 Clase 3: https://youtube.com/live/EMoNdLRn4Ns?feature=share"/>
        <s v="👉🏻 Clase 4: https://youtube.com/live/NnSKpz6Itq0?feature=share"/>
        <s v="👉🏻 Clase 1: https://youtube.com/live/u3T1y77D1mE?feature=share"/>
        <s v="👉🏻 Clase 2: https://youtube.com/live/r4dLVZh7oi8?feature=share"/>
        <s v="👉🏻 Clase 3: https://youtube.com/live/0Yni3p0o1_8?feature=share"/>
        <s v="👉🏻 Clase 4: https://youtube.com/live/_9ZYtXAN_Fo?feature=share"/>
        <s v="👉🏻 Clase 1: https://youtube.com/live/L60EirO0BZo?feature=share"/>
        <s v="👉🏻 Clase 2: https://youtube.com/live/EU6VnAfIiJw?feature=share"/>
        <s v="👉🏻 Clase 3: https://youtube.com/live/DqKQ0hY2wmA?feature=share"/>
        <s v="👉🏻 Clase 4: https://youtube.com/live/kafa4hfjkaY?feature=share"/>
        <s v="👉🏻 Clase 1: https://youtube.com/live/sAjv8SsYdYQ?feature=share"/>
        <s v="👉🏻 Clase 2: https://youtube.com/live/4OhWNU40hqE?feature=share"/>
        <s v="👉🏻 Clase 3: https://youtube.com/live/h9iOVLt3jLI?feature=share"/>
        <s v="👉🏻 Clase 4: https://youtube.com/live/IbGloENJvgw?feature=share"/>
        <s v="👉🏻 Clase 1:https://youtube.com/live/dbwp_nmBYWk?feature=share"/>
        <s v="👉🏻 Clase 2: https://youtube.com/live/r8Tpp4XEuuc?feature=share"/>
        <s v="👉🏻 Clase 3: https://youtube.com/live/OVcI4-VLfFs?feature=share"/>
        <s v="👉🏻 Clase 4: https://youtube.com/live/RLMviTPK33o?feature=share"/>
        <s v="👉🏻 Clase 1: https://youtube.com/live/4Kpqdz8Nrnk?"/>
        <s v="👉🏻 Clase 2: https://youtube.com/live/hxP4e5ibcwA?"/>
        <s v="👉🏻 Clase 3: https://youtube.com/live/cMNjuR9axxI?"/>
        <s v="👉🏻 Clase 4: https://youtube.com/live/ag4TFSMV1KQ?"/>
        <s v="👉🏻 Clase 1: https://youtube.com/live/HqH0V36anrM?feature=share"/>
        <s v="👉🏻 Clase 2: https://youtube.com/live/Ipo2ozYYxTI?feature=share"/>
        <s v="👉🏻 Clase 3: https://youtube.com/live/6d8l7sW5AQA?feature=share"/>
        <s v="👉🏻 Clase 4: https://youtube.com/live/eVnHbhhQJkI?feature=share"/>
        <s v="👉🏻 Clase 1 y 2: https://youtube.com/live/RNWy1Iqjy4U?feature=share"/>
        <s v="👉🏻 Clase 3: https://youtube.com/live/DJpYHQkhy_A?feature=share"/>
        <s v="👉🏻 Clase 4: https://youtube.com/live/4B16cOWl0Ws?"/>
        <s v="👉🏻 Clase 1: https://youtube.com/live/PvFPYZou8-g?"/>
        <s v="👉🏻 Clase 2: https://youtube.com/live/MAy_-7UKQKI?"/>
        <s v="👉🏻 Clase 3: https://youtube.com/live/HXX6l6MavAE?"/>
        <s v="👉🏻 Clase 4: https://youtube.com/live/Xyo9Znb6iP4?"/>
        <s v="👉🏻 Clase 1: https://youtube.com/live/jowPe8soOHI?feature=share"/>
        <s v="👉🏻 Clase 2: https://youtube.com/live/ubqOmwBq9D4?feature=share"/>
        <s v="👉🏻 Clase 3: https://youtube.com/live/_upwR4wVXrE?feature=share"/>
        <s v="👉🏻 Clase 4: https://youtube.com/live/1xk5ezPw1Eg?feature=share"/>
        <s v="👉🏻 Clase 1: https://youtube.com/live/YazKLBF-B6c?feature=share"/>
        <s v="👉🏻 Clase 2: https://youtube.com/live/kEV7rBs1oSw?feature=share"/>
        <s v="👉🏻 Clase 3: https://youtube.com/live/5d8QoNhWdcE?feature=share"/>
        <s v="👉🏻 Clase 4: https://youtube.com/live/WTVLLcJ_EmY?feature=share"/>
        <s v="👉🏻 Clase 1: https://youtube.com/live/8HNkh1_ur08?feature=share"/>
        <s v="👉🏻 Clase 2: https://youtube.com/live/g8BtcRFryq4?feature=share"/>
        <s v="👉🏻 Clase 3: https://youtube.com/live/N2dw5g-MX6U?feature=share"/>
        <s v="👉🏻 Clase 4: https://youtube.com/live/64mH22Iho8g?feature=share"/>
        <s v="👉🏻 Clase 1: https://youtube.com/live/2cqmD4ObYew?"/>
        <s v="👉🏻 Clase 2: https://youtube.com/live/zvauzjKvnM0?"/>
        <s v="👉🏻 Clase 3: https://youtube.com/live/ngxMXNY73Fg?feature=share"/>
        <s v="👉🏻 Clase 4: https://youtube.com/live/i-TMOsQDNig?feature=sharequé "/>
        <s v="👉🏻 Clase 1: https://youtube.com/live/7WXIJEUEC3U?feature=share"/>
        <s v="👉🏻 Clase 2: https://youtube.com/live/7Wy6YLIRQ8c?feature=share"/>
        <s v="👉🏻 Clase 3: https://youtube.com/live/O-VgnyDJBJ8?feature=share"/>
        <s v="👉🏻 Clase 4: https://youtube.com/live/DeNxp3Nt0Nw?feature=share"/>
        <s v="👉🏻 Clase 1: https://youtube.com/live/yy7UNc6yy4A?"/>
        <s v="👉🏻 Clase 2: https://youtube.com/live/gG5HUxZTPEw?feature=share "/>
        <s v="👉🏻 Clase 3:https://youtube.com/live/N4eLEss4Aao?"/>
        <s v="👉🏻 Clase 3: https://youtube.com/live/U9X3-rnPBYk?feature=share¿"/>
        <s v="👉🏻 Clase 1: https://youtube.com/live/xtwLSdjZPT8?feature=share"/>
        <s v="👉🏻 Clase 2: https://youtube.com/live/Dp7hqGNLcsk?feature=share"/>
        <s v="👉🏻 Clase 3: https://youtube.com/live/0nBP_kt7ldA?feature=share"/>
        <s v="👉🏻 Clase 01: https://youtube.com/live/EWefzYJlUT8?feature=share"/>
        <s v="👉🏻 Clase 02: https://www.youtube.com/live/y7e4TYMfT-M?"/>
        <s v="👉🏻 Clase 03: https://youtube.com/live/5u2ptqn39sY?"/>
        <s v="👉🏻 Clase 04: https://youtube.com/live/5KgvIuqlddE?"/>
        <s v="👉🏻 *Clase 1:* https://youtube.com/live/aAGSbABpRLc?feature=share"/>
        <s v="👉🏻 *Clase 2:* https://youtube.com/live/U_3HI15SU6o?feature=share"/>
        <s v="👉🏻 *Clase 3:* https://youtube.com/live/guDoLshQGlo?feature=share"/>
        <s v="👉🏻 *Clase 4:* https://youtube.com/live/OqFlA1Nr1T8?feature=share"/>
        <s v="👉🏻 Clase 1: https://youtube.com/live/NXQFBkkXRDc?feature=share"/>
        <s v="👉🏻 Clase 2: https://youtube.com/live/pbTeN_qCaEk?"/>
        <s v="👉🏻 Clase 1:   https://youtube.com/live/QBwK1TDAy9E?feature=share"/>
        <s v="👉🏻 Clase 2: https://youtube.com/live/PN9JMPsGWJI?feature=share.                                                        🚨 ¿Por qué aprovechar esto?"/>
        <s v="👉🏻 Clase 1: https://youtube.com/live/tHDeyxJWpDc?feature=share"/>
        <s v="https://youtube.com/live/8q2uIts7_uY?"/>
        <s v="👉🏻 Clase 1: https://youtube.com/live/NGa4N5su0Ok?feature=share"/>
        <s v="👉🏻 Clase 2: https://youtube.com/live/S7w7aoauTX0?feature=share"/>
        <s v="👉🏻 Clase 1: https://youtube.com/live/w3-iIVNbbBA?feature=share"/>
        <s v="👉🏻 Clase 2: https://youtube.com/live/yhylUPjcdkc?feature=share"/>
        <s v="👉🏻 Clase 1: https://youtube.com/live/JCuIfXtExFU"/>
        <s v="👉🏻 Clase 2: https://youtube.com/live/C2J-2q2bwBs"/>
      </sharedItems>
    </cacheField>
    <cacheField name="LINK YOUTUBE IFRAME" numFmtId="0">
      <sharedItems containsBlank="1">
        <s v="https://youtube.com/embed/dJWHecyW_-I"/>
        <s v="https://youtube.com/embed/OXb7rpvAm4I"/>
        <s v="https://youtube.com/embed/1lI7DvubMUM"/>
        <s v="https://youtube.com/embed/AGtFQ3G1FCU"/>
        <s v="https://youtube.com/embed/ezIG1eilHYg"/>
        <s v="https://youtube.com/embed/WzfXRcMAedg"/>
        <s v="https://youtube.com/embed/l3d1FJjsBnI"/>
        <s v="https://youtube.com/embed/iGRxLKNnaT8"/>
        <s v="https://youtube.com/embed/Kwp1T7tc7n0"/>
        <s v="https://youtube.com/embed/-XxNjC5YTWU"/>
        <s v="https://youtube.com/embed/UlFAlcui1Iw"/>
        <s v="https://youtube.com/embed/424PbUvthZ0"/>
        <s v="https://youtube.com/embed/d7f0Jg7Y5YY"/>
        <s v="https://youtube.com/embed/z0JpdWvpsM8"/>
        <s v="https://youtube.com/embed/jpXPolJzulY"/>
        <s v="https://youtube.com/embed/wAlBvkZn5Jg"/>
        <s v="https://youtube.com/embed/ezlES8BVzMo"/>
        <s v="https://youtube.com/embed/InTwibl_aG8"/>
        <s v="https://youtube.com/embed/uGZhhP7DREQ"/>
        <s v="https://youtube.com/embed/uel312Qq5hM"/>
        <s v="https://www.youtube.com/embed/UXUGUUqg5P4"/>
        <s v="https://www.youtube.com/embed/_MiGhWoqWqY"/>
        <s v="https://www.youtube.com/embed/jl44NKscLu8"/>
        <s v="https://youtube.com/embed/jghOVERkJKw"/>
        <s v="https://www.youtube.com/embed/07FOszC5N2U"/>
        <s v="https://www.youtube.com/embed/6Ms87Rq4c30"/>
        <s v="https://www.youtube.com/embed/tE9ceLJvHwU"/>
        <s v="https://youtube.com/embed/mNqKgdl6Tzs"/>
        <s v="https://youtube.com/embed/rmg-UHlIzoA"/>
        <s v="https://youtube.com/embed/9NsuHQy0QC8"/>
        <s v="https://youtube.com/embed/aHoENZaJGAw"/>
        <s v="https://youtube.com/embed/Ti4OsD_8CUA"/>
        <s v="https://youtube.com/embed/ozB-gIAstz8"/>
        <s v="https://youtube.com/embed/fyNAO5zb9sU"/>
        <s v="https://youtube.com/embed/b7dUQkR3am0"/>
        <s v="https://youtube.com/embed/nGgUIA2w3YI"/>
        <s v="https://youtube.com/embed/OVUzg3BcNxs"/>
        <s v="https://youtube.com/embed/z3OXjK4mn3M"/>
        <s v="https://youtube.com/embed/k7pYtlmoTgY"/>
        <s v="https://youtube.com/embed/1ngKQh_nKpA"/>
        <s v="https://www.youtube.com/embed/WT87cCEYFRM"/>
        <s v="https://youtube.com/embed/1WFr2u8rKSU"/>
        <s v="https://youtube.com/embed/kyaj0F42pTU"/>
        <s v="https://youtube.com/embed/qdC2jgv49og"/>
        <s v="https://youtube.com/embed/jLeuaX-G3Hs"/>
        <s v="https://youtube.com/embed/LD6oSbGfkFU"/>
        <s v="https://youtube.com/embed/F71dYyft28g"/>
        <s v="https://youtube.com/embed/aQYZnNVqr2c"/>
        <s v="https://youtube.com/embed/cDn_mKRjs_w"/>
        <s v="https://youtube.com/embed/Y_O1pmn5AI0"/>
        <s v="https://youtube.com/embed/aoz3cGZ19QA"/>
        <s v="https://youtube.com/embed/mC3gBQbSi8E"/>
        <s v="https://youtube.com/embed/Axdv633ShjY"/>
        <s v="https://youtube.com/embed/M8p1LNfXxbQ"/>
        <s v="https://youtube.com/embed/n5z9gs_SSEQ"/>
        <s v="https://youtube.com/embed/vlHcoDpvB5c"/>
        <s v="https://www.youtube.com/embed/p1a7r_YmrdA"/>
        <s v="https://www.youtube.com/embed/0FfbK6RZ22M"/>
        <s v="https://youtube.com/embed/HqDKhmbPYno"/>
        <s v="https://youtube.com/embed/NWAm7TKvVXg"/>
        <s v="https://youtube.com/embed/TO8myacc6OY"/>
        <s v="https://www.youtube.com/embed/E6FpvYBkSKw"/>
        <s v="https://youtube.com/embed/HlQkA5dlHf4"/>
        <s v="https://youtube.com/embed/E9Xsqn780Xg"/>
        <s v="https://youtube.com/embed/mb0L2PI7s_c"/>
        <s v="https://youtube.com/embed/IL_gbYIdcoo"/>
        <s v="https://youtube.com/embed/JuTDWiaNQ_Q"/>
        <s v="https://youtube.com/embed/KCi0XIqlWfw"/>
        <s v="https://youtube.com/embed/tQ53yAu_Zf4"/>
        <s v="https://youtube.com/embed/LN9iVEIEs9U"/>
        <s v="https://youtube.com/embed/3HL99bvtxyI"/>
        <s v="https://youtube.com/embed/iOqVUVy_u94"/>
        <s v="https://youtube.com/embed/ismQD4kej3E"/>
        <s v="https://youtube.com/embed/k5joz3niO10"/>
        <s v="https://youtube.com/embed/FLzgNFkWFE4"/>
        <s v="https://youtube.com/embed/cjKaqGPSzyQ"/>
        <s v="https://youtube.com/embed/iNsT-mga0Jk"/>
        <s v="https://youtube.com/embed/ASZqEEqOoFs"/>
        <s v="https://youtube.com/embed/0XyYPcF1u6s"/>
        <s v="https://youtube.com/embed/22xY82kg2rA"/>
        <s v="https://youtube.com/embed/ySMqrteo540"/>
        <s v="https://youtube.com/embed/zTewunME6AY"/>
        <s v="https://youtube.com/embed/6mA1GD-i6WE"/>
        <s v="https://youtube.com/embed/O_0aE-2oXcI"/>
        <s v="https://youtube.com/embed/_oPHB7b9QbU"/>
        <s v="https://youtube.com/embed/Q0gav66aYsc"/>
        <s v="https://youtube.com/embed/fGHmtkOpr2E"/>
        <s v="https://youtube.com/embed/loHNhtOyWGQ"/>
        <s v="https://youtube.com/embed/vHakGwlRd4o"/>
        <s v="https://youtube.com/embed/bqfapBBDPH8"/>
        <m/>
        <s v="https://youtube.com/embed/apRGBH5tLg0"/>
        <s v="https://youtube.com/embed/dWSqXshSziY"/>
        <s v="https://youtube.com/embed/CY1sqGGp4yw"/>
        <s v="https://youtube.com/embed/D0C5UDynUsg"/>
        <s v="https://youtube.com/embed/k5LI3M-_mmI"/>
        <s v="https://youtube.com/embed/jkqBPjH-peY"/>
        <s v="https://youtube.com/embed/vzYSSY4fSkU"/>
        <s v="https://youtube.com/embed/58fa1BYLZ4I"/>
        <s v="https://youtube.com/embed/PIdyKVEYGtE"/>
        <s v="https://youtube.com/embed/DoOanHA3LSQ"/>
        <s v="https://youtube.com/embed/_86rzleYb-o"/>
        <s v="https://youtube.com/embed/EUetwM-YPOc"/>
        <s v="https://youtube.com/embed/0ElbNyPBwtM"/>
        <s v="https://youtube.com/embed/h_TQ1jvN12s"/>
        <s v="https://youtube.com/embed/rbPA4IRapII"/>
        <s v="https://youtube.com/embed/sEjoIrWkxiI"/>
        <s v="https://youtube.com/embed/gCgiRZk59tw"/>
        <s v="https://youtube.com/embed/U9puCgZI0jA"/>
        <s v="https://youtube.com/embed/vkbMBFcq3Kg"/>
        <s v="https://youtube.com/embed/TmsPeJtt6-I"/>
        <s v="https://youtube.com/embed/-J8t1GpTXog"/>
        <s v="https://youtube.com/embed/yFPOkT6G14I"/>
        <s v="https://youtube.com/embed/kjR39tM2ayw"/>
        <s v="https://youtube.com/embed/ASmOYrJU964"/>
        <s v="https://youtube.com/embed/DRQa8OGwsCg"/>
        <s v="https://www.youtube.com/embed/5QfpFKXkod8"/>
        <s v="https://youtube.com/embed/GL8EbzyF4ck"/>
        <s v="https://youtube.com/embed/QO3y3kPZzgs"/>
        <s v="https://youtube.com/embed/Sq9R4XgMZCU"/>
        <s v="https://youtube.com/embed/O51p2hacKno"/>
        <s v="https://youtube.com/embed/eTGJR9dFGYs"/>
        <s v="https://youtube.com/embed/q3mJ97iNiU0"/>
        <s v="https://youtube.com/embed/j-4sVmTg4Bg"/>
        <s v="https://youtube.com/embed/5TkpFvGchEM"/>
        <s v="https://youtube.com/embed/vthtLc8S5Lk"/>
        <s v="https://youtube.com/embed/ypqvFWMQgHU"/>
        <s v="https://youtube.com/embed/pRsYzX1HU68"/>
        <s v="https://youtube.com/embed/cvNbOE_UfuU"/>
        <s v="https://youtube.com/embed/m7zFyn-BtKs"/>
        <s v="https://youtube.com/embed/l1PKRWjuX98"/>
        <s v="https://youtube.com/embed/SlSMOt9WP5s"/>
        <s v="https://youtube.com/embed/LFiqv1kn2rA"/>
        <s v="https://youtube.com/embed/gUL83cHJnCM"/>
        <s v="https://youtube.com/embed/ColOytJoFSM"/>
        <s v="https://www.youtube.com/watch"/>
        <s v="https://youtube.com/embed/E-csFjxgpCU"/>
        <s v="https://youtube.com/embed/UB05S62ivEA"/>
        <s v="https://youtube.com/embed/qYuBFG0ohv4"/>
        <s v="https://youtube.com/embed/wFfzwVJzat8"/>
        <s v="https://youtube.com/embed/Guf9n2TbwXI"/>
        <s v="https://youtube.com/embed/dhyD_UoqH1U"/>
        <s v="https://youtube.com/embed/Tf_8cAbgV_Q"/>
        <s v="https://youtube.com/embed/9kCOepysZo0"/>
        <s v="https://youtube.com/embed/uWBJbS-Vz4M"/>
        <s v="https://youtube.com/embed/sGOn3YPoMJw"/>
        <s v="https://youtube.com/embed/oBuVgNIC1Gk"/>
        <s v="https://youtube.com/embed/1hCY_IUCXzc"/>
        <s v="https://youtube.com/embed/2CmWw6IXfPc"/>
        <s v="https://youtube.com/embed/dTsO9XHFhuY"/>
        <s v="https://youtube.com/embed/e7kJA_0GDJ4"/>
        <s v="https://youtube.com/embed/-nNdpfMN2Vg"/>
        <s v="https://youtube.com/embed/3oXKrXXkfaA"/>
        <s v="https://youtube.com/embed/Cv_RlmqXSZk"/>
        <s v="https://youtube.com/embed/hmEevJCvEyQ"/>
        <s v="https://youtube.com/embed/izrq5fGiM28"/>
        <s v="https://youtube.com/embed/z9TnWuNNVjY"/>
        <s v="https://youtube.com/embed/2cN7a5yrktM"/>
        <s v="https://youtube.com/embed/pr5NN0hn5ww"/>
        <s v="https://youtube.com/embed/1b4z9bkAack"/>
        <s v="https://youtube.com/embed/EMoNdLRn4Ns"/>
        <s v="https://youtube.com/embed/NnSKpz6Itq0"/>
        <s v="https://youtube.com/embed/u3T1y77D1mE"/>
        <s v="https://youtube.com/embed/r4dLVZh7oi8"/>
        <s v="https://youtube.com/embed/0Yni3p0o1_8"/>
        <s v="https://youtube.com/embed/_9ZYtXAN_Fo"/>
        <s v="https://youtube.com/embed/L60EirO0BZo"/>
        <s v="https://youtube.com/embed/EU6VnAfIiJw"/>
        <s v="https://youtube.com/embed/DqKQ0hY2wmA"/>
        <s v="https://youtube.com/embed/kafa4hfjkaY"/>
        <s v="https://youtube.com/embed/sAjv8SsYdYQ"/>
        <s v="https://youtube.com/embed/4OhWNU40hqE"/>
        <s v="https://youtube.com/embed/h9iOVLt3jLI"/>
        <s v="https://youtube.com/embed/IbGloENJvgw"/>
        <s v="https://youtube.com/embed/dbwp_nmBYWk"/>
        <s v="https://youtube.com/embed/r8Tpp4XEuuc"/>
        <s v="https://youtube.com/embed/OVcI4-VLfFs"/>
        <s v="https://youtube.com/embed/RLMviTPK33o"/>
        <s v="https://youtube.com/embed/4Kpqdz8Nrnk"/>
        <s v="https://youtube.com/embed/hxP4e5ibcwA"/>
        <s v="https://youtube.com/embed/cMNjuR9axxI"/>
        <s v="https://youtube.com/embed/ag4TFSMV1KQ"/>
        <s v="https://youtube.com/embed/HqH0V36anrM"/>
        <s v="https://youtube.com/embed/Ipo2ozYYxTI"/>
        <s v="https://youtube.com/embed/6d8l7sW5AQA"/>
        <s v="https://youtube.com/embed/eVnHbhhQJkI"/>
        <s v="https://youtube.com/embed/RNWy1Iqjy4U"/>
        <s v="https://youtube.com/embed/DJpYHQkhy_A"/>
        <s v="https://youtube.com/embed/4B16cOWl0Ws"/>
        <s v="https://youtube.com/embed/PvFPYZou8-g"/>
        <s v="https://youtube.com/embed/MAy_-7UKQKI"/>
        <s v="https://youtube.com/embed/HXX6l6MavAE"/>
        <s v="https://youtube.com/embed/Xyo9Znb6iP4"/>
        <s v="https://youtube.com/embed/jowPe8soOHI"/>
        <s v="https://youtube.com/embed/ubqOmwBq9D4"/>
        <s v="https://youtube.com/embed/_upwR4wVXrE"/>
        <s v="https://youtube.com/embed/1xk5ezPw1Eg"/>
        <s v="https://youtube.com/embed/YazKLBF-B6c"/>
        <s v="https://youtube.com/embed/kEV7rBs1oSw"/>
        <s v="https://youtube.com/embed/5d8QoNhWdcE"/>
        <s v="https://youtube.com/embed/WTVLLcJ_EmY"/>
        <s v="https://youtube.com/embed/8HNkh1_ur08"/>
        <s v="https://youtube.com/embed/g8BtcRFryq4"/>
        <s v="https://youtube.com/embed/N2dw5g-MX6U"/>
        <s v="https://youtube.com/embed/64mH22Iho8g"/>
        <s v="https://youtube.com/embed/2cqmD4ObYew"/>
        <s v="https://youtube.com/embed/zvauzjKvnM0"/>
        <s v="https://youtube.com/embed/ngxMXNY73Fg"/>
        <s v="https://youtube.com/embed/i-TMOsQDNig"/>
        <s v="https://youtube.com/embed/7WXIJEUEC3U"/>
        <s v="https://youtube.com/embed/7Wy6YLIRQ8c"/>
        <s v="https://youtube.com/embed/O-VgnyDJBJ8"/>
        <s v="https://youtube.com/embed/DeNxp3Nt0Nw"/>
        <s v="https://youtube.com/embed/yy7UNc6yy4A"/>
        <s v="https://youtube.com/embed/gG5HUxZTPEw"/>
        <s v="https://youtube.com/embed/N4eLEss4Aao"/>
        <s v="https://youtube.com/embed/U9X3-rnPBYk"/>
        <s v="https://youtube.com/embed/xtwLSdjZPT8"/>
        <s v="https://youtube.com/embed/Dp7hqGNLcsk"/>
        <s v="https://youtube.com/embed/0nBP_kt7ldA"/>
        <s v="https://youtube.com/embed/EWefzYJlUT8"/>
        <s v="https://www.youtube.com/embed/y7e4TYMfT-M"/>
        <s v="https://youtube.com/embed/5u2ptqn39sY"/>
        <s v="https://youtube.com/embed/5KgvIuqlddE"/>
        <s v="https://youtube.com/embed/aAGSbABpRLc"/>
        <s v="https://youtube.com/embed/U_3HI15SU6o"/>
        <s v="https://youtube.com/embed/guDoLshQGlo"/>
        <s v="https://youtube.com/embed/OqFlA1Nr1T8"/>
        <s v="https://youtube.com/embed/NXQFBkkXRDc"/>
        <s v="https://youtube.com/embed/pbTeN_qCaEk"/>
        <s v="https://youtube.com/embed/QBwK1TDAy9E"/>
        <s v="https://youtube.com/embed/PN9JMPsGWJI"/>
        <s v="https://youtube.com/embed/tHDeyxJWpDc"/>
        <s v="https://youtube.com/embed/8q2uIts7_uY"/>
        <s v="https://youtube.com/embed/NGa4N5su0Ok"/>
        <s v="https://youtube.com/embed/S7w7aoauTX0"/>
        <s v="https://youtube.com/embed/w3-iIVNbbBA"/>
        <s v="https://youtube.com/embed/yhylUPjcdkc"/>
        <s v="buscar o subir en YT"/>
        <s v="https://youtube.com/embed/JCuIfXtExFU"/>
        <s v="https://youtube.com/embed/C2J-2q2bwBs"/>
        <s v="https://youtu.be/mIB0Lu48CP0"/>
        <s v="https://youtu.be/l6_i5JZa0ZU"/>
        <s v="https://youtu.be/sw3MaBxVcgs"/>
        <s v="https://youtu.be/3UtZkHdsK4I"/>
        <s v="https://youtube.com/live/8LFZNQmrZvc?feature=share"/>
        <s v="https://youtube.com/live/jlrlI1veqlI?feature=share"/>
        <s v="https://youtu.be/cwvcDjBpWPQ"/>
        <s v="https://youtu.be/L-IWP6bCqMs"/>
        <s v="https://youtu.be/51mPcuSbORo"/>
        <s v="https://youtu.be/yFLLFQnJfGs"/>
        <s v="https://youtu.be/iOU2_tMDXUE"/>
        <s v="https://youtu.be/frZrzQYULZI"/>
        <s v="https://youtu.be/GEDKN56DSa4"/>
        <s v="https://youtu.be/KCQx1rBymOc"/>
      </sharedItems>
    </cacheField>
    <cacheField name="LINK YOUTUBE" numFmtId="0">
      <sharedItems containsBlank="1">
        <s v="https://www.youtube.com/watch?v=dJWHecyW_-I"/>
        <s v="https://www.youtube.com/watch?v=OXb7rpvAm4I"/>
        <s v="https://www.youtube.com/watch?v=1lI7DvubMUM"/>
        <s v="https://www.youtube.com/watch?v=AGtFQ3G1FCU"/>
        <s v="https://www.youtube.com/watch?v=ezIG1eilHYg"/>
        <s v="https://www.youtube.com/watch?v=WzfXRcMAedg"/>
        <s v="https://www.youtube.com/watch?v=l3d1FJjsBnI"/>
        <s v="https://www.youtube.com/watch?v=iGRxLKNnaT8"/>
        <s v="https://www.youtube.com/watch?v=Kwp1T7tc7n0"/>
        <s v="https://www.youtube.com/watch?v=-XxNjC5YTWU"/>
        <s v="https://www.youtube.com/watch?v=UlFAlcui1Iw"/>
        <s v="https://www.youtube.com/watch?v=424PbUvthZ0"/>
        <s v="https://www.youtube.com/watch?v=d7f0Jg7Y5YY"/>
        <s v="https://www.youtube.com/watch?v=z0JpdWvpsM8"/>
        <s v="https://www.youtube.com/watch?v=jpXPolJzulY"/>
        <s v="https://www.youtube.com/watch?v=wAlBvkZn5Jg"/>
        <s v="https://www.youtube.com/watch?v=ezlES8BVzMo"/>
        <s v="https://www.youtube.com/watch?v=InTwibl_aG8"/>
        <s v="https://www.youtube.com/watch?v=uGZhhP7DREQ"/>
        <s v="https://www.youtube.com/watch?v=uel312Qq5hM"/>
        <s v="https://www.youtube.com/watch?v=UXUGUUqg5P4"/>
        <s v="https://www.youtube.com/watch?v=_MiGhWoqWqY"/>
        <s v="https://www.youtube.com/watch?v=jl44NKscLu8"/>
        <s v="https://www.youtube.com/watch?v=jghOVERkJKw"/>
        <s v="https://www.youtube.com/watch?v=07FOszC5N2U"/>
        <s v="https://www.youtube.com/watch?v=6Ms87Rq4c30"/>
        <s v="https://www.youtube.com/watch?v=tE9ceLJvHwU"/>
        <s v="https://www.youtube.com/watch?v=mNqKgdl6Tzs"/>
        <s v="https://www.youtube.com/watch?v=rmg-UHlIzoA"/>
        <s v="https://www.youtube.com/watch?v=9NsuHQy0QC8"/>
        <s v="https://www.youtube.com/watch?v=aHoENZaJGAw"/>
        <s v="https://www.youtube.com/watch?v=Ti4OsD_8CUA"/>
        <s v="https://www.youtube.com/watch?v=ozB-gIAstz8"/>
        <s v="https://www.youtube.com/watch?v=fyNAO5zb9sU"/>
        <s v="https://www.youtube.com/watch?v=b7dUQkR3am0"/>
        <s v="https://www.youtube.com/watch?v=nGgUIA2w3YI"/>
        <s v="https://www.youtube.com/watch?v=OVUzg3BcNxs"/>
        <s v="https://www.youtube.com/watch?v=z3OXjK4mn3M"/>
        <s v="https://www.youtube.com/watch?v=k7pYtlmoTgY"/>
        <s v="https://www.youtube.com/watch?v=1ngKQh_nKpA"/>
        <s v="https://www.youtube.com/watch?v=WT87cCEYFRM"/>
        <s v="https://www.youtube.com/watch?v=1WFr2u8rKSU"/>
        <s v="https://www.youtube.com/watch?v=kyaj0F42pTU"/>
        <s v="https://www.youtube.com/watch?v=qdC2jgv49og"/>
        <s v="https://www.youtube.com/watch?v=jLeuaX-G3Hs"/>
        <s v="https://www.youtube.com/watch?v=LD6oSbGfkFU"/>
        <s v="https://www.youtube.com/watch?v=F71dYyft28g"/>
        <s v="https://www.youtube.com/watch?v=aQYZnNVqr2c"/>
        <s v="https://www.youtube.com/watch?v=cDn_mKRjs_w"/>
        <s v="https://www.youtube.com/watch?v=Y_O1pmn5AI0"/>
        <s v="https://www.youtube.com/watch?v=aoz3cGZ19QA"/>
        <s v="https://www.youtube.com/watch?v=mC3gBQbSi8E"/>
        <s v="https://www.youtube.com/watch?v=Axdv633ShjY"/>
        <s v="https://www.youtube.com/watch?v=M8p1LNfXxbQ"/>
        <s v="https://www.youtube.com/watch?v=n5z9gs_SSEQ"/>
        <s v="https://www.youtube.com/watch?v=vlHcoDpvB5c"/>
        <s v="https://www.youtube.com/watch?v=p1a7r_YmrdA"/>
        <s v="https://www.youtube.com/watch?v=0FfbK6RZ22M"/>
        <s v="https://www.youtube.com/watch?v=HqDKhmbPYno"/>
        <s v="https://www.youtube.com/watch?v=NWAm7TKvVXg"/>
        <s v="https://www.youtube.com/watch?v=TO8myacc6OY"/>
        <s v="https://www.youtube.com/watch?v=E6FpvYBkSKw"/>
        <s v="https://www.youtube.com/watch?v=HlQkA5dlHf4"/>
        <s v="https://www.youtube.com/watch?v=E9Xsqn780Xg"/>
        <s v="https://www.youtube.com/watch?v=mb0L2PI7s_c"/>
        <s v="https://www.youtube.com/watch?v=IL_gbYIdcoo"/>
        <s v="https://www.youtube.com/watch?v=JuTDWiaNQ_Q"/>
        <s v="https://www.youtube.com/watch?v=KCi0XIqlWfw"/>
        <s v="https://www.youtube.com/watch?v=tQ53yAu_Zf4"/>
        <s v="https://www.youtube.com/watch?v=LN9iVEIEs9U"/>
        <s v="https://www.youtube.com/watch?v=3HL99bvtxyI"/>
        <s v="https://www.youtube.com/watch?v=iOqVUVy_u94"/>
        <s v="https://www.youtube.com/watch?v=ismQD4kej3E"/>
        <s v="https://www.youtube.com/watch?v=k5joz3niO10"/>
        <s v="https://www.youtube.com/watch?v=FLzgNFkWFE4"/>
        <s v="https://www.youtube.com/watch?v=cjKaqGPSzyQ"/>
        <s v="https://www.youtube.com/watch?v=iNsT-mga0Jk"/>
        <s v="https://www.youtube.com/watch?v=ASZqEEqOoFs"/>
        <s v="https://www.youtube.com/watch?v=0XyYPcF1u6s"/>
        <s v="https://www.youtube.com/watch?v=22xY82kg2rA"/>
        <s v="https://www.youtube.com/watch?v=ySMqrteo540"/>
        <s v="https://www.youtube.com/watch?v=zTewunME6AY"/>
        <s v="https://www.youtube.com/watch?v=6mA1GD-i6WE"/>
        <s v="https://www.youtube.com/watch?v=O_0aE-2oXcI"/>
        <s v="https://www.youtube.com/watch?v=_oPHB7b9QbU"/>
        <s v="https://www.youtube.com/watch?v=Q0gav66aYsc"/>
        <s v="https://www.youtube.com/watch?v=fGHmtkOpr2E"/>
        <s v="https://www.youtube.com/watch?v=loHNhtOyWGQ"/>
        <s v="https://www.youtube.com/watch?v=vHakGwlRd4o"/>
        <s v="https://www.youtube.com/watch?v=bqfapBBDPH8"/>
        <m/>
        <s v="https://www.youtube.com/watch?v=apRGBH5tLg0"/>
        <s v="https://www.youtube.com/watch?v=dWSqXshSziY"/>
        <s v="https://www.youtube.com/watch?v=CY1sqGGp4yw"/>
        <s v="https://www.youtube.com/watch?v=D0C5UDynUsg"/>
        <s v="https://www.youtube.com/watch?v=k5LI3M-_mmI"/>
        <s v="https://www.youtube.com/watch?v=jkqBPjH-peY"/>
        <s v="https://www.youtube.com/watch?v=vzYSSY4fSkU"/>
        <s v="https://www.youtube.com/watch?v=58fa1BYLZ4I"/>
        <s v="https://www.youtube.com/watch?v=PIdyKVEYGtE"/>
        <s v="https://www.youtube.com/watch?v=DoOanHA3LSQ"/>
        <s v="https://www.youtube.com/watch?v=_86rzleYb-o"/>
        <s v="https://www.youtube.com/watch?v=EUetwM-YPOc"/>
        <s v="https://www.youtube.com/watch?v=0ElbNyPBwtM"/>
        <s v="https://www.youtube.com/watch?v=h_TQ1jvN12s"/>
        <s v="https://www.youtube.com/watch?v=rbPA4IRapII"/>
        <s v="https://www.youtube.com/watch?v=sEjoIrWkxiI"/>
        <s v="https://www.youtube.com/watch?v=gCgiRZk59tw"/>
        <s v="https://www.youtube.com/watch?v=U9puCgZI0jA"/>
        <s v="https://www.youtube.com/watch?v=vkbMBFcq3Kg"/>
        <s v="https://www.youtube.com/watch?v=TmsPeJtt6-I"/>
        <s v="https://www.youtube.com/watch?v=-J8t1GpTXog"/>
        <s v="https://www.youtube.com/watch?v=yFPOkT6G14I"/>
        <s v="https://www.youtube.com/watch?v=kjR39tM2ayw"/>
        <s v="https://www.youtube.com/watch?v=ASmOYrJU964"/>
        <s v="https://www.youtube.com/watch?v=DRQa8OGwsCg"/>
        <s v="https://www.youtube.com/watch?v=5QfpFKXkod8"/>
        <s v="https://www.youtube.com/watch?v=GL8EbzyF4ck"/>
        <s v="https://www.youtube.com/watch?v=QO3y3kPZzgs"/>
        <s v="https://www.youtube.com/watch?v=Sq9R4XgMZCU"/>
        <s v="https://www.youtube.com/watch?v=O51p2hacKno"/>
        <s v="https://www.youtube.com/watch?v=eTGJR9dFGYs"/>
        <s v="https://www.youtube.com/watch?v=q3mJ97iNiU0"/>
        <s v="https://www.youtube.com/watch?v=j-4sVmTg4Bg"/>
        <s v="https://www.youtube.com/watch?v=5TkpFvGchEM"/>
        <s v="https://www.youtube.com/watch?v=vthtLc8S5Lk"/>
        <s v="https://www.youtube.com/watch?v=ypqvFWMQgHU"/>
        <s v="https://www.youtube.com/watch?v=pRsYzX1HU68"/>
        <s v="https://www.youtube.com/watch?v=cvNbOE_UfuU"/>
        <s v="https://www.youtube.com/watch?v=m7zFyn-BtKs"/>
        <s v="https://www.youtube.com/watch?v=l1PKRWjuX98"/>
        <s v="https://www.youtube.com/watch?v=SlSMOt9WP5s"/>
        <s v="https://www.youtube.com/watch?v=LFiqv1kn2rA"/>
        <s v="https://www.youtube.com/watch?v=gUL83cHJnCM"/>
        <s v="https://www.youtube.com/watch?v=ColOytJoFSM"/>
        <s v="https://www.youtube.com/watch?v=E-csFjxgpCU"/>
        <s v="https://www.youtube.com/watch?v=UB05S62ivEA"/>
        <s v="https://www.youtube.com/watch?v=qYuBFG0ohv4"/>
        <s v="https://www.youtube.com/watch?v=wFfzwVJzat8"/>
        <s v="https://www.youtube.com/watch?v=Guf9n2TbwXI"/>
        <s v="https://www.youtube.com/watch?v=dhyD_UoqH1U"/>
        <s v="https://www.youtube.com/watch?v=Tf_8cAbgV_Q"/>
        <s v="https://www.youtube.com/watch?v=9kCOepysZo0"/>
        <s v="https://www.youtube.com/watch?v=uWBJbS-Vz4M"/>
        <s v="https://www.youtube.com/watch?v=sGOn3YPoMJw"/>
        <s v="https://www.youtube.com/watch?v=oBuVgNIC1Gk"/>
        <s v="https://www.youtube.com/watch?v=1hCY_IUCXzc"/>
        <s v="https://www.youtube.com/watch?v=2CmWw6IXfPc"/>
        <s v="https://www.youtube.com/watch?v=dTsO9XHFhuY"/>
        <s v="https://www.youtube.com/watch?v=e7kJA_0GDJ4"/>
        <s v="https://www.youtube.com/watch?v=-nNdpfMN2Vg"/>
        <s v="https://www.youtube.com/watch?v=3oXKrXXkfaA"/>
        <s v="https://www.youtube.com/watch?v=Cv_RlmqXSZk"/>
        <s v="https://www.youtube.com/watch?v=hmEevJCvEyQ"/>
        <s v="https://www.youtube.com/watch?v=izrq5fGiM28"/>
        <s v="https://www.youtube.com/watch?v=z9TnWuNNVjY"/>
        <s v="https://www.youtube.com/watch?v=2cN7a5yrktM"/>
        <s v="https://www.youtube.com/watch?v=pr5NN0hn5ww"/>
        <s v="https://www.youtube.com/watch?v=1b4z9bkAack"/>
        <s v="https://www.youtube.com/watch?v=EMoNdLRn4Ns"/>
        <s v="https://www.youtube.com/watch?v=NnSKpz6Itq0"/>
        <s v="https://www.youtube.com/watch?v=u3T1y77D1mE"/>
        <s v="https://www.youtube.com/watch?v=r4dLVZh7oi8"/>
        <s v="https://www.youtube.com/watch?v=0Yni3p0o1_8"/>
        <s v="https://www.youtube.com/watch?v=_9ZYtXAN_Fo"/>
        <s v="https://www.youtube.com/watch?v=L60EirO0BZo"/>
        <s v="https://www.youtube.com/watch?v=EU6VnAfIiJw"/>
        <s v="https://www.youtube.com/watch?v=DqKQ0hY2wmA"/>
        <s v="https://www.youtube.com/watch?v=kafa4hfjkaY"/>
        <s v="https://www.youtube.com/watch?v=sAjv8SsYdYQ"/>
        <s v="https://www.youtube.com/watch?v=4OhWNU40hqE"/>
        <s v="https://www.youtube.com/watch?v=h9iOVLt3jLI"/>
        <s v="https://www.youtube.com/watch?v=IbGloENJvgw"/>
        <s v="https://www.youtube.com/watch?v=dbwp_nmBYWk"/>
        <s v="https://www.youtube.com/watch?v=r8Tpp4XEuuc"/>
        <s v="https://www.youtube.com/watch?v=OVcI4-VLfFs"/>
        <s v="https://www.youtube.com/watch?v=RLMviTPK33o"/>
        <s v="https://www.youtube.com/watch?v=4Kpqdz8Nrnk"/>
        <s v="https://www.youtube.com/watch?v=hxP4e5ibcwA"/>
        <s v="https://www.youtube.com/watch?v=cMNjuR9axxI"/>
        <s v="https://www.youtube.com/watch?v=ag4TFSMV1KQ"/>
        <s v="https://www.youtube.com/watch?v=HqH0V36anrM"/>
        <s v="https://www.youtube.com/watch?v=Ipo2ozYYxTI"/>
        <s v="https://www.youtube.com/watch?v=6d8l7sW5AQA"/>
        <s v="https://www.youtube.com/watch?v=eVnHbhhQJkI"/>
        <s v="https://www.youtube.com/watch?v=RNWy1Iqjy4U"/>
        <s v="https://www.youtube.com/watch?v=DJpYHQkhy_A"/>
        <s v="https://www.youtube.com/watch?v=4B16cOWl0Ws"/>
        <s v="https://www.youtube.com/watch?v=PvFPYZou8-g"/>
        <s v="https://www.youtube.com/watch?v=MAy_-7UKQKI"/>
        <s v="https://www.youtube.com/watch?v=HXX6l6MavAE"/>
        <s v="https://www.youtube.com/watch?v=Xyo9Znb6iP4"/>
        <s v="https://www.youtube.com/watch?v=jowPe8soOHI"/>
        <s v="https://www.youtube.com/watch?v=ubqOmwBq9D4"/>
        <s v="https://www.youtube.com/watch?v=_upwR4wVXrE"/>
        <s v="https://www.youtube.com/watch?v=1xk5ezPw1Eg"/>
        <s v="https://www.youtube.com/watch?v=YazKLBF-B6c"/>
        <s v="https://www.youtube.com/watch?v=kEV7rBs1oSw"/>
        <s v="https://www.youtube.com/watch?v=5d8QoNhWdcE"/>
        <s v="https://www.youtube.com/watch?v=WTVLLcJ_EmY"/>
        <s v="https://www.youtube.com/watch?v=8HNkh1_ur08"/>
        <s v="https://www.youtube.com/watch?v=g8BtcRFryq4"/>
        <s v="https://www.youtube.com/watch?v=N2dw5g-MX6U"/>
        <s v="https://www.youtube.com/watch?v=64mH22Iho8g"/>
        <s v="https://www.youtube.com/watch?v=2cqmD4ObYew"/>
        <s v="https://www.youtube.com/watch?v=zvauzjKvnM0"/>
        <s v="https://www.youtube.com/watch?v=ngxMXNY73Fg"/>
        <s v="https://www.youtube.com/watch?v=i-TMOsQDNig"/>
        <s v="https://www.youtube.com/watch?v=7WXIJEUEC3U"/>
        <s v="https://www.youtube.com/watch?v=7Wy6YLIRQ8c"/>
        <s v="https://www.youtube.com/watch?v=O-VgnyDJBJ8"/>
        <s v="https://www.youtube.com/watch?v=DeNxp3Nt0Nw"/>
        <s v="https://www.youtube.com/watch?v=yy7UNc6yy4A"/>
        <s v="https://www.youtube.com/watch?v=gG5HUxZTPEw"/>
        <s v="https://www.youtube.com/watch?v=N4eLEss4Aao"/>
        <s v="https://www.youtube.com/watch?v=U9X3-rnPBYk"/>
        <s v="https://www.youtube.com/watch?v=xtwLSdjZPT8"/>
        <s v="https://www.youtube.com/watch?v=Dp7hqGNLcsk"/>
        <s v="https://www.youtube.com/watch?v=0nBP_kt7ldA"/>
        <s v="https://www.youtube.com/watch?v=EWefzYJlUT8"/>
        <s v="https://www.youtube.com/watch?v=y7e4TYMfT-M"/>
        <s v="https://www.youtube.com/watch?v=5u2ptqn39sY"/>
        <s v="https://www.youtube.com/watch?v=5KgvIuqlddE"/>
        <s v="https://www.youtube.com/watch?v=aAGSbABpRLc"/>
        <s v="https://www.youtube.com/watch?v=U_3HI15SU6o"/>
        <s v="https://www.youtube.com/watch?v=guDoLshQGlo"/>
        <s v="https://www.youtube.com/watch?v=OqFlA1Nr1T8"/>
        <s v="https://www.youtube.com/watch?v=NXQFBkkXRDc"/>
        <s v="https://www.youtube.com/watch?v=pbTeN_qCaEk"/>
        <s v="https://www.youtube.com/watch?v=QBwK1TDAy9E"/>
        <s v="https://www.youtube.com/watch?v=PN9JMPsGWJI"/>
        <s v="https://www.youtube.com/watch?v=tHDeyxJWpDc"/>
        <s v="https://www.youtube.com/watch?v=8q2uIts7_uY"/>
        <s v="https://www.youtube.com/watch?v=NGa4N5su0Ok"/>
        <s v="https://www.youtube.com/watch?v=S7w7aoauTX0"/>
        <s v="https://www.youtube.com/watch?v=w3-iIVNbbBA"/>
        <s v="https://www.youtube.com/watch?v=yhylUPjcdkc"/>
        <s v="https://www.youtube.com/watch?v=JCuIfXtExFU"/>
        <s v="https://www.youtube.com/watch?v=C2J-2q2bwBs"/>
        <s v="https://youtu.be/i77VbfbEhE0"/>
        <s v="https://youtu.be/4nCwl2XAybI"/>
        <s v="https://youtu.be/mIB0Lu48CP0"/>
        <s v="https://youtu.be/l6_i5JZa0ZU"/>
        <s v="https://youtu.be/sw3MaBxVcgs"/>
        <s v="https://youtu.be/3UtZkHdsK4I"/>
        <s v="https://youtube.com/live/8LFZNQmrZvc?feature=share"/>
        <s v="https://youtube.com/live/jlrlI1veqlI?feature=share"/>
        <s v="https://youtu.be/cwvcDjBpWPQ"/>
        <s v="https://youtu.be/L-IWP6bCqMs"/>
        <s v="https://youtube.com/live/9tIXUP42nFM?feature=share"/>
        <s v="https://youtube.com/live/2GygAzTyURo?feature=share"/>
        <s v="https://youtu.be/51mPcuSbORo"/>
        <s v="https://youtu.be/yFLLFQnJfGs"/>
        <s v="https://youtu.be/iOU2_tMDXUE"/>
        <s v="https://youtu.be/frZrzQYULZI"/>
        <s v="https://youtu.be/GEDKN56DSa4"/>
        <s v="https://youtu.be/KCQx1rBymOc"/>
      </sharedItems>
    </cacheField>
    <cacheField name="clase2" numFmtId="0">
      <sharedItems containsBlank="1">
        <s v="CLASE 01"/>
        <s v="CLASE 02"/>
        <s v="CLASE 03"/>
        <s v="CLASE 04"/>
        <m/>
        <s v="CLASE 05"/>
        <s v="CLASE 06"/>
        <s v="CLASE 07"/>
        <s v="CLASE 08"/>
        <s v="CLASE 09"/>
        <s v="CLASE 10"/>
      </sharedItems>
    </cacheField>
    <cacheField name="TEMAS" numFmtId="0">
      <sharedItems containsBlank="1">
        <s v="Principios generales"/>
        <s v="Normas técnicas"/>
        <s v="Responsabilidades y obligaciones"/>
        <s v="Inspección de trabajo en seguridad y salud en el trabajo (Ley N.º 29783)"/>
        <s v="IPERC (Identificación de peligros y evaluación de riesgos y controles)"/>
        <s v="Prevención de riesgos"/>
        <s v="Sistema de gestión de la seguridad y salud en el trabajo"/>
        <s v="Control de riesgos en minería"/>
        <s v="Principales riesgos ergonómicos en el sector minero e industrial"/>
        <s v="Diseño de equipos y estaciones de trabajo"/>
        <s v="Capacitación y concientización"/>
        <s v="Investigación de accidentes de trabajo"/>
        <s v="Ley general de minería"/>
        <s v="Normativas ambientales"/>
        <s v="Normativa sobre seguridad minera"/>
        <s v="Tratados internacionales y compromisos"/>
        <s v="Selección y evaluación de proveedores"/>
        <s v="Contratos y negociación con proveedores"/>
        <s v="Optimización de la cadena de suministro"/>
        <s v="Tecnología y digitalización"/>
        <s v="Importancia del control de costos en almacenes mineros"/>
        <s v="El control, clases y análisis de control de costos"/>
        <s v="Planificación y presupuestación, eficiencia de los controles de ejecución"/>
        <s v="Evaluación y monitoreo con KPIs"/>
        <s v="Logística en la industria"/>
        <s v="Logística en la minería"/>
        <s v="Diseño de redes en la distribución en la industria y minería"/>
        <s v="Tendencias en la logística y distribución de la minería"/>
        <s v="Tipos de contratos en la industria minera"/>
        <s v="Condiciones legales y regulatorias en contratos mineros"/>
        <s v="Control de riesgos en los contratos mineros"/>
        <s v="Resolución de conflicto y litigios"/>
        <s v="Minería y derechos humanos"/>
        <s v="Derechos laborales en la industria minera"/>
        <s v="Origen y características del canon minero"/>
        <s v="Marco legal y normativo que protege los derechos comunitarios en minería"/>
        <s v="Marco legal"/>
        <s v="Formatos, documentos para la gestión de seguridad"/>
        <s v="Trabajos en altura, trabajos con izajes"/>
        <s v="Trabajos en caliente, trabajos en espacios confinados"/>
        <s v="Responsabilidad penal por accidentes mineros"/>
        <s v="Delitos ambientales en la minería"/>
        <s v="Responsabilidad penal por daños a la salud pública"/>
        <s v="Incumplimiento de normas laborales por parte del empleador"/>
        <s v="Derechos y obligaciones de los trabajadores"/>
        <s v="Conflictos laborales en la minería"/>
        <s v="Seguridad y salud en trabajo minero"/>
        <s v="Responsabilidad de las empresas mineras en derecho laboral"/>
        <s v="Concesión minera de explotación"/>
        <s v="Concesión minera de exploración"/>
        <s v="Concesión minera de combinada"/>
        <s v="Concesión minera de subsuelo"/>
        <s v="Selección de proveedores logísticos"/>
        <s v="Gestión de riesgos en los contratos logísticos"/>
        <s v="Gestión de contratos logísticos"/>
        <s v="Optimización de costos logísticos en contratos"/>
        <s v="Principios de la seguridad en la minería"/>
        <s v="Identificación de riesgos"/>
        <s v="Riesgos específicos en minería subterránea"/>
        <s v="Medidas preventivas generales en la minería"/>
        <s v="Implementación de la norma ISO 45001:2018 en la minería"/>
        <s v="Identificación de peligros y evaluación de riesgos"/>
        <s v="Beneficios de implementar la ISO 45001 en la minería"/>
        <s v="Auditoría ISO 45001"/>
        <s v="Emergencias en la industria"/>
        <s v="Marco legal y normativo en la gestión de emergencias"/>
        <s v="Simulacro y entrenamiento"/>
        <s v="Responsabilidad social y gestión de emergencias"/>
        <s v="Concepto básico de planificación de inventarios"/>
        <s v="Clasificación de inventarios"/>
        <s v="Sistemas de gestión de inventarios"/>
        <s v="Herramientas tecnológicas aplicadas a la minería"/>
        <s v="Tipos de informes"/>
        <s v="Análisis financieros"/>
        <s v="Control y auditoría"/>
        <s v="Mejora en las prácticas en el control financiero en almacenes"/>
        <s v="Procesos clave de la logística interna"/>
        <s v="Diseño y organización del almacén"/>
        <s v="Recepción de mercancías en almacenes"/>
        <s v="Estrategias de mejora"/>
        <s v="Introducción a big data"/>
        <s v="Ecosistema de big data"/>
        <s v="Tipos de datos y procesamiento de datos"/>
        <s v="Sistemas de bases de datos"/>
        <s v="Datos estáticos"/>
        <s v="Datos no estructurados"/>
        <s v="Datos geoespaciales"/>
        <s v="Ventajas de la captura de datos en big data"/>
        <s v="Volumen de datos, sostenibilidad en el proceso de datos"/>
        <s v="Integración de IA en el manejo de big data"/>
        <m/>
        <s v="Introducción y fundamentos"/>
        <s v="Manejo y limpieza de datos"/>
        <s v="Transformación, combinación y fusión de datos"/>
        <s v="Visualización de datos"/>
        <s v="Beneficios de la minería 4.0"/>
        <s v="Desafíos y consideraciones"/>
        <s v="Herramientas de la minería 4.0"/>
        <s v="IA de aprendizaje supervisado en IA"/>
        <s v="IA geoespacial"/>
        <s v="IA en operaciones remotas"/>
        <s v="IA en la planificación y gestión minera"/>
        <s v="Fundamentos de la automatización 4.0"/>
        <s v="Industria 4.0"/>
        <s v="Automatización en los niveles de supervisión"/>
        <s v="Controles en la automatización minera"/>
        <s v="Fundamentos de la cadena de suministros"/>
        <s v="Gestión de inventarios"/>
        <s v="Transporte, distribución"/>
        <s v="Almacenamiento, planificación de la demanda y satisfacción del cliente"/>
        <s v="Fundamentos en la gestión de operaciones industriales"/>
        <s v="Métodos de mejora de procesos"/>
        <s v="Integración de la calidad en la gestión de operaciones industriales"/>
        <s v="Herramientas para la medición de recursos"/>
        <s v="Conceptos de la gestión de proyectos"/>
        <s v="Metodología en la gestión de proyectos"/>
        <s v="Herramientas y técnicas en la gestión de proyectos"/>
        <s v="Gestión de riesgos"/>
        <s v="Importancia del diseño de la arquitectura de datos"/>
        <s v="Componentes de datos"/>
        <s v="Función de la arquitectura de datos"/>
        <s v="Configuración y patrones de arquitectura de datos"/>
        <s v="Introducción al ecosistema de big data"/>
        <s v="Herramientas y tecnologías esenciales en ecosistema big data"/>
        <s v="Procesamiento y análisis de datos"/>
        <s v="Ecosistema big data"/>
        <s v="Fundamentos de machine learning (ML)"/>
        <s v="Big data en machine learning"/>
        <s v="Herramientas y tecnología de machine learning para big data"/>
        <s v="Procesamiento de datos para machine learning en big data"/>
        <s v="Herramientas de gestión de proyectos mineros"/>
        <s v="Tecnologías de monitoreo en tiempo real"/>
        <s v="Uso de drones en minería"/>
        <s v="Software de modelado geológico y simulación"/>
        <s v="Aprendizaje supervisado en minería"/>
        <s v="IA aplicada"/>
        <s v="Plataformas de gestión de datos para minería"/>
        <s v="Herramientas de big data para la cadena de suministro en minería"/>
        <s v="Automatización industrial"/>
        <s v="Optimización de la producción"/>
        <s v="Planificación y programación avanzada de la producción (APS)"/>
        <s v="Gestión de riesgos en las operaciones industriales"/>
        <s v="Clasificación de costos en la producción industrial"/>
        <s v="Presupuestación de costos de producción"/>
        <s v="Control de inventarios"/>
        <s v="Análisis de productividad y eficiencia"/>
        <s v="Fundamentos de la importación y exportación"/>
        <s v="Comercio internacional: incoterms y finanzas"/>
        <s v="Innovación y herramientas en el comercio internacional"/>
        <s v="Networking internacional: estrategias para el éxito"/>
        <s v="Contexto de la organización y liderazgo"/>
        <s v="Planificación y gestión de riesgos"/>
        <s v="Monitoreo, medición y mejora continua"/>
        <s v="Auditorías internas en ISO 9001:2015"/>
        <s v="Investigación de mercado"/>
        <s v="Estrategias y herramientas en la evaluación de la demanda"/>
        <s v="Innovación tecnológica en el análisis de mercado"/>
        <s v="Claves en el proceso de investigación de mercado"/>
        <s v="Fundamentos de la investigación y planificación"/>
        <s v="Creación de la tienda virtual"/>
        <s v="Lanzamiento y optimización de tiendas virtuales"/>
        <s v="Servicio al cliente y posventa"/>
        <s v="Fundamentos del software SCADA"/>
        <s v="Aplicaciones del software SCADA en la industria minera"/>
        <s v="Creación y personalización de aplicaciones SCADA"/>
        <s v="Fundamentos de la gestión de operaciones mineras"/>
        <s v="Estrategias avanzadas en planificación de operaciones mineras"/>
        <s v="Puntos clave en la planificación estratégica en la gestión de operaciones"/>
        <s v="Claves en la planificación de procesos mineros"/>
        <s v="Controladores en la industria minera"/>
        <s v="Pirámide de procesos en minería"/>
        <s v="Controladores lógicos programables (PLC)"/>
        <s v="Controladores PID (Proporcional-Integral-Derivativo)"/>
        <s v="Fundamentos"/>
        <s v="Análisis de datos y diagnóstico predictivo"/>
        <s v="Mantenimiento predictivo"/>
        <s v="Automatización del mantenimiento"/>
        <s v="Introducción a la gestión del mantenimiento"/>
        <s v="Implementación de un sistema integrado de gestión del mantenimiento"/>
        <s v="Indicadores de gestión y toma de decisiones"/>
        <s v="Innovación y tendencias en la gestión del mantenimiento"/>
        <s v="Estándares de calidad del mantenimiento (ISO 55000)"/>
        <s v="Estándares de calidad del mantenimiento (ISO 55001)"/>
        <s v="Sistema de calidad del mantenimiento"/>
        <s v="Normativa aduanera"/>
        <s v="Estrategias arancelarias y comercio exterior"/>
        <s v="Proceso de tramitación de documentos aduaneros en Perú"/>
        <s v="Claves en la documentación aduanera"/>
        <s v="Gestión de stakeholders"/>
        <s v="Gestión de proveedores"/>
        <s v="Estrategias para evitar estafas"/>
        <s v="Evaluación y priorización de riesgos"/>
        <s v="Desarrollo de estrategias de mitigación"/>
        <s v="Monitoreo continuo y revisión"/>
        <s v="Introducción al aseguramiento de la calidad y control de calidad"/>
        <s v="Componentes fundamentales del diseño"/>
        <s v="Acciones correctivas y preventivas (CAPA)"/>
        <s v="Herramientas y tecnologías"/>
        <s v="Mediciones en los procesos"/>
        <s v="Estrategias de control de procesos"/>
        <s v="Innovación de sistemas de monitoreo y control"/>
        <s v="Beneficios del monitoreo y control de las operaciones mineras"/>
        <s v="Aspectos claves en la sostenibilidad en los campamentos mineros"/>
        <s v="Fundamentos en la seguridad en campamentos mineros"/>
        <s v="PTAR esenciales para la sostenibilidad minera"/>
        <s v="Estrategias para incrementar la sostenibilidad"/>
        <s v="Revolución de datos en la minería moderna: innovaciones para un futuro más eficiente"/>
        <s v="Aplicaciones del análisis de datos"/>
        <s v="Técnicas de análisis de datos"/>
        <s v="Herramientas de análisis de datos"/>
        <s v="Seguridad estratégica en el mantenimiento"/>
        <s v="Ecomantenimiento: herramientas y seguridad ambiental"/>
        <s v="Ecoseguridad 360: integrando ISO 14001:2015"/>
        <s v="Fundamentos de la gerencia de proyectos de mantenimiento"/>
        <s v="Gestión integral de proyectos"/>
        <s v="Gestión avanzada de proyectos"/>
        <s v="Tecnología avanzada y certificaciones"/>
        <s v="Fundamentos clave en la gestión de costos"/>
        <s v="ABM (Activity-Based Management) aplicados a la gestión de costos"/>
        <s v="ABC (Activity-Based Costing) aplicados a la gestión de costos"/>
        <s v="Mantenimiento basado en la condición (CBM) en la reducción de costos"/>
        <s v="Introducción a la sostenibilidad y principios de la minería responsable"/>
        <s v="Innovaciones, desafíos y futuro de la minería responsable"/>
        <s v="Fundamentos de primeros auxilios en minería"/>
        <s v="Atención de emergencias y prevención en minería"/>
        <s v="Fundamentos de los KPIs en la cadena de suministro"/>
        <s v="Análisis y mejora de los KPIs en la cadena de suministro"/>
        <s v="Fundamentos de la exploración minera"/>
        <s v="Evaluación y modelado de yacimientos mineros"/>
        <s v="Fundamentos de ISO 14001 y su enfoque hacia la gestión ambiental"/>
        <s v="Implementación, evaluación y mejora continua en la gestión ambiental"/>
        <s v="Introducción a la gestión de crisis en el entorno industrial"/>
        <s v="Manejo de conflictos en ambientes industriales"/>
        <s v="Cuadro de mando integral BSC"/>
        <s v="BSC y FODA"/>
        <s v="Fundamentos de la gestión de la energía en la minería"/>
        <s v="Estrategias avanzadas y tecnologías en la gestión energética para minería"/>
        <s v="Introducción a la gestión de la cadena de suministro en la minería"/>
        <s v="Optimización y mejores prácticas en la gestión de la cadena de suministro minera"/>
        <s v="Fundamentos de seguridad y control de inventarios en minería"/>
        <s v="Logística minera y gestión de seguridad en el proceso de suministro"/>
        <s v="Comprendiendo la salud mental en el trabajo y los trastornos psicológicos comunes"/>
        <s v="Prevención y estrategias de apoyo en el trabajo para la salud mental"/>
        <s v="Principios lean avanzados en minería"/>
        <s v="Implementación y control: lean mining"/>
        <s v="Fundamentos de ergonomía en la industria"/>
        <s v="Diseño y adaptación de puestos de trabajo"/>
        <s v="Planificación y preparación para la parada de planta"/>
        <s v="Ejecución, supervisión y mejora continua en paradas de planta"/>
        <s v="Fundamentos de la gestión de relaves y residuos mineros"/>
        <s v="Técnicas y tecnologías para la gestión sostenible de residuos mineros"/>
      </sharedItems>
    </cacheField>
    <cacheField name="TRANSCRIPCION" numFmtId="0">
      <sharedItems containsBlank="1">
        <s v="SÍ"/>
        <s v="SI"/>
        <s v="NO"/>
        <m/>
      </sharedItems>
    </cacheField>
    <cacheField name="GENERADO (ROGER)" numFmtId="0">
      <sharedItems containsBlank="1">
        <m/>
        <s v="COMIENZA DICIENDO QUE ES EL RESUMEN DEL CURSO GESTIÓN DE PROVEEDORES EN MINERÍA DE EDUMIN, LUEGO HAZ EL RESUMEN Y FINALIZA INVITANDO A VER EL RESTO DE RECURSOS DE LAS ZONAS DE EDUMIN."/>
        <s v="COMIENZA DICIENDO QUE ES EL RESUMEN DEL CURSO CONTROL DE COSTOS EN ALMACENES MINEROS DE EDUMIN, LUEGO HAZ EL RESUMEN Y FINALIZA INVITANDO A VER EL RESTO DE RECURSOS DE LAS ZONAS DE EDUMIN."/>
        <s v="COMIENZA DICIENDO QUE ES EL RESUMEN DEL CURSO LOGÍSTICA Y DISTRIBUCIÓN EN LA INDUSTRIA Y MINERÍA DE EDUMIN, LUEGO HAZ EL RESUMEN Y FINALIZA INVITANDO A VER EL RESTO DE RECURSOS DE LAS ZONAS DE EDUMIN."/>
        <s v="COMIENZA DICIENDO QUE ES EL RESUMEN DEL CURSO GESTIÓN DE CONTRATOS LOGÍSTICOS EN LA INDUSTRIA Y MINERÍA DE EDUMIN, LUEGO HAZ EL RESUMEN Y FINALIZA INVITANDO A VER EL RESTO DE RECURSOS DE LAS ZONAS DE EDUMIN."/>
        <s v="COMIENZA DICIENDO QUE ES EL RESUMEN DEL CURSO GESTIÓN DE INVENTARIOS EN INDUSTRIA Y MINERÍA DE EDUMIN, LUEGO HAZ EL RESUMEN Y FINALIZA INVITANDO A VER EL RESTO DE RECURSOS DE LAS ZONAS DE EDUMIN."/>
        <s v="COMIENZA DICIENDO QUE ES EL RESUMEN DEL CURSO CONTROL FINANCIERO EN ALMACENES DE EDUMIN, LUEGO HAZ EL RESUMEN Y FINALIZA INVITANDO A VER EL RESTO DE RECURSOS DE LAS ZONAS DE EDUMIN."/>
        <s v="COMIENZA DICIENDO QUE ES EL RESUMEN DEL CURSO LOGÍSTICA INTERNA EN CONTROL DE ALMACENES DE EDUMIN, LUEGO HAZ EL RESUMEN Y FINALIZA INVITANDO A VER EL RESTO DE RECURSOS DE LAS ZONAS DE EDUMIN."/>
        <s v="COMIENZA DICIENDO QUE ES EL RESUMEN DEL CURSO FUNDAMENTOS DE BIG DATA DE EDUMIN, LUEGO HAZ EL RESUMEN Y FINALIZA INVITANDO A VER EL RESTO DE RECURSOS DE LAS ZONAS DE EDUMIN."/>
        <s v="si"/>
        <s v="COMIENZA DICIENDO QUE ES EL RESUMEN DEL CURSO MÉTODOS DE CAPTURA DE INFORMACIÓN EN BIG DATA DE EDUMIN, LUEGO HAZ EL RESUMEN Y FINALIZA INVITANDO A VER EL RESTO DE RECURSOS DE LAS ZONAS DE EDUMIN."/>
        <s v="COMIENZA DICIENDO QUE ES EL RESUMEN DEL CURSO TENDENCIAS 2025-2026: CLAVES DE BIG DATA DE EDUMIN, LUEGO HAZ EL RESUMEN Y FINALIZA INVITANDO A VER EL RESTO DE RECURSOS DE LAS ZONAS DE EDUMIN."/>
        <s v="COMIENZA DICIENDO QUE ES EL RESUMEN DEL CURSO BIG DATA: TRANSFORMACIÓN DE DATOS (PYTHON Y R) DE EDUMIN, LUEGO HAZ EL RESUMEN Y FINALIZA INVITANDO A VER EL RESTO DE RECURSOS DE LAS ZONAS DE EDUMIN."/>
        <s v="COMIENZA DICIENDO QUE ES EL RESUMEN DEL CURSO MINERÍA 4.0 ESSENTIALS: NUEVAS HERRAMIENTAS DE EDUMIN, LUEGO HAZ EL RESUMEN Y FINALIZA INVITANDO A VER EL RESTO DE RECURSOS DE LAS ZONAS DE EDUMIN."/>
        <s v="COMIENZA DICIENDO QUE ES EL RESUMEN DEL CURSO INNOVACIÓN EN MINERÍA: APLICACIONES DE INTELIGENCIA ARTIFICIAL DE EDUMIN, LUEGO HAZ EL RESUMEN Y FINALIZA INVITANDO A VER EL RESTO DE RECURSOS DE LAS ZONAS DE EDUMIN."/>
        <s v="COMIENZA DICIENDO QUE ES EL RESUMEN DEL CURSO AUTOMATIZACIÓN 4.0 EN PROCESOS MINEROS DE EDUMIN, LUEGO HAZ EL RESUMEN Y FINALIZA INVITANDO A VER EL RESTO DE RECURSOS DE LAS ZONAS DE EDUMIN."/>
        <s v="COMIENZA DICIENDO QUE ES EL RESUMEN DEL CURSO CADENA DE SUMINISTRO LOGÍSTICA Y DISTRIBUCIÓN DE EDUMIN, LUEGO HAZ EL RESUMEN Y FINALIZA INVITANDO A VER EL RESTO DE RECURSOS DE LAS ZONAS DE EDUMIN."/>
        <s v="COMIENZA DICIENDO QUE ES EL RESUMEN DEL CURSO ARQUITECTURA DE DATOS: LA IMPORTANCIA DEL DISEÑO, COMPONENTES, FUNCIÓN, CONFIGURACIÓN Y PATRONES DE EDUMIN, LUEGO HAZ EL RESUMEN Y FINALIZA INVITANDO A VER EL RESTO DE RECURSOS DE LAS ZONAS DE EDUMIN."/>
        <s v="COMIENZA DICIENDO QUE ES EL RESUMEN DEL CURSO ECOSISTEMA BIG DATA: HERRAMIENTAS Y TECNOLOGÍAS ESENCIALES DE EDUMIN, LUEGO HAZ EL RESUMEN Y FINALIZA INVITANDO A VER EL RESTO DE RECURSOS DE LAS ZONAS DE EDUMIN."/>
        <s v="COMIENZA DICIENDO QUE ES EL RESUMEN DEL CURSO INTRODUCCIÓN A MACHINE LEARNING PARA BIG DATA DE EDUMIN, LUEGO HAZ EL RESUMEN Y FINALIZA INVITANDO A VER EL RESTO DE RECURSOS DE LAS ZONAS DE EDUMIN."/>
        <s v="COMIENZA DICIENDO QUE ES EL RESUMEN DEL CURSO PROYECTOS CON HERRAMIENTAS DIGITALES PARA MINERÍA DE EDUMIN, LUEGO HAZ EL RESUMEN Y FINALIZA INVITANDO A VER EL RESTO DE RECURSOS DE LAS ZONAS DE EDUMIN."/>
        <s v="COMIENZA DICIENDO QUE ES EL RESUMEN DEL CURSO TIPOS DE INTELIGENCIA ARTIFICIAL APLICADAS A LA MINERÍA DE EDUMIN, LUEGO HAZ EL RESUMEN Y FINALIZA INVITANDO A VER EL RESTO DE RECURSOS DE LAS ZONAS DE EDUMIN."/>
        <s v="COMIENZA DICIENDO QUE ES EL RESUMEN DEL CURSO HERRAMIENTAS DE BIG DATA APLICADA A MINERÍA DE EDUMIN, LUEGO HAZ EL RESUMEN Y FINALIZA INVITANDO A VER EL RESTO DE RECURSOS DE LAS ZONAS DE EDUMIN."/>
        <s v="COMIENZA DICIENDO QUE ES EL RESUMEN DEL CURSO IMPORTACIÓN Y EXPORTACIÓN DESDE 0: CLAVES PARA EL ÉXITO DE EDUMIN, LUEGO HAZ EL RESUMEN Y FINALIZA INVITANDO A VER EL RESTO DE RECURSOS DE LAS ZONAS DE EDUMIN."/>
        <s v="COMIENZA DICIENDO QUE ES EL RESUMEN DEL CURSO ANÁLISIS DE MERCADOS INTERNACIONALES: ESTRATEGIAS DE IMPORTACIÓN Y EXPORTACIÓN 2025-2026 DE EDUMIN, LUEGO HAZ EL RESUMEN Y FINALIZA INVITANDO A VER EL RESTO DE RECURSOS DE LAS ZONAS DE EDUMIN."/>
        <s v="COMIENZA DICIENDO QUE ES EL RESUMEN DEL CURSO DE LA IMPORTACIÓN A LA VENTA ONLINE: IMPLEMENTA TU TIENDA VIRTUAL DESDE CERO DE EDUMIN, LUEGO HAZ EL RESUMEN Y FINALIZA INVITANDO A VER EL RESTO DE RECURSOS DE LAS ZONAS DE EDUMIN."/>
        <s v="COMIENZA DICIENDO QUE ES EL RESUMEN DEL CURSO CONTROL Y SUPERVISIÓN DE PROCESOS CON SOFTWARE SCADA DE EDUMIN, LUEGO HAZ EL RESUMEN Y FINALIZA INVITANDO A VER EL RESTO DE RECURSOS DE LAS ZONAS DE EDUMIN."/>
        <s v="COMIENZA DICIENDO QUE ES EL RESUMEN DEL CURSO DOCUMENTACIÓN Y TRÁMITES ADUANEROS DE EDUMIN, LUEGO HAZ EL RESUMEN Y FINALIZA INVITANDO A VER EL RESTO DE RECURSOS DE LAS ZONAS DE EDUMIN."/>
        <s v="COMIENZA DICIENDO QUE ES EL RESUMEN DEL CURSO REVISIÓN DE PROVEEDORES PARA EVITAR ESTAFAS EN IMPORTACIONES CHINAS DE EDUMIN, LUEGO HAZ EL RESUMEN Y FINALIZA INVITANDO A VER EL RESTO DE RECURSOS DE LAS ZONAS DE EDUMIN."/>
        <s v="COMIENZA DICIENDO QUE ES EL RESUMEN DEL CURSO PLANIFICACIÓN DE RIESGOS PARA IMPORTACIÓN Y EXPORTACIÓN DE EDUMIN, LUEGO HAZ EL RESUMEN Y FINALIZA INVITANDO A VER EL RESTO DE RECURSOS DE LAS ZONAS DE EDUMIN."/>
        <s v="COMIENZA DICIENDO QUE ES EL RESUMEN DEL CURSO INDICADORES CLAVE (KPIS) PARA LA CADENA DE ABASTECIMIENTOS DE EDUMIN, LUEGO HAZ EL RESUMEN Y FINALIZA INVITANDO A VER EL RESTO DE RECURSOS DE LAS ZONAS DE EDUMIN."/>
        <s v="COMIENZA DICIENDO QUE ES EL RESUMEN DEL CURSO EXPLORACIÓN MINERA Y EVALUACIÓN DE YACIMIENTOS DE EDUMIN, LUEGO HAZ EL RESUMEN Y FINALIZA INVITANDO A VER EL RESTO DE RECURSOS DE LAS ZONAS DE EDUMIN."/>
        <s v="COMIENZA DICIENDO QUE ES EL RESUMEN DEL CURSO GESTIÓN DE LA CADENA DE SUMINISTRO EN EMPRESAS MINERAS DE EDUMIN, LUEGO HAZ EL RESUMEN Y FINALIZA INVITANDO A VER EL RESTO DE RECURSOS DE LAS ZONAS DE EDUMIN."/>
        <s v="COMIENZA DICIENDO QUE ES EL RESUMEN DEL CURSO SEGURIDAD Y NORMATIVA EN EL CONTROL DE INVENTARIO Y LOGÍSTICA MINERA DE EDUMIN, LUEGO HAZ EL RESUMEN Y FINALIZA INVITANDO A VER EL RESTO DE RECURSOS DE LAS ZONAS DE EDUMIN."/>
        <s v="COMIENZA DICIENDO QUE ES EL RESUMEN DEL CURSO GESTIÓN DE RELAVES Y RESIDUOS MINEROS DE EDUMIN, LUEGO HAZ EL RESUMEN Y FINALIZA INVITANDO A VER EL RESTO DE RECURSOS DE LAS ZONAS DE EDUMIN."/>
      </sharedItems>
    </cacheField>
    <cacheField name="FECHA INICIO" numFmtId="0">
      <sharedItems containsBlank="1">
        <s v="14 de enero de 2025"/>
        <m/>
        <s v="15 de enero de 2025"/>
        <s v="4 de febrero de 2025"/>
        <s v="21 de enero de 2025"/>
        <s v="22 de enero de 2025"/>
        <s v="5 de febrero de 2025"/>
        <s v="19 de febrero de 2025"/>
        <s v="18 de febrero de 2025"/>
        <s v="5 de marzo de 2025"/>
        <s v="4 de marzo de 2025"/>
        <s v="19 de marzo de 2025"/>
        <s v="18 de marzo de 2025"/>
      </sharedItems>
    </cacheField>
    <cacheField name="FECHA FIN" numFmtId="0">
      <sharedItems containsBlank="1">
        <s v="23 de enero de 2025"/>
        <m/>
        <s v="24 de enero de 2025"/>
        <s v="7 de febrero de 2025"/>
        <s v="30 de enero de 2025"/>
        <s v="31 de enero de 2025"/>
        <s v="13 de febrero de 2025"/>
        <s v="14 de febrero de 2025"/>
        <s v="28 de febrero de 2025"/>
        <s v="27 de febrero de 2025"/>
        <s v="14 de marzo de 2025"/>
        <s v="13 de marzo de 2025"/>
        <s v="28 de marzo de 2025"/>
        <s v="27 de marzo de 2025"/>
      </sharedItems>
    </cacheField>
    <cacheField name="FECHA DE CERTIFICADO" numFmtId="0">
      <sharedItems containsBlank="1">
        <s v="24 de enero de 2025"/>
        <m/>
        <s v="25 de enero de 2025"/>
        <s v="8 de febrero de 2025"/>
        <s v="31 de enero de 2025"/>
        <s v="1 de febrero de 2025"/>
        <s v="14 de febrero de 2025"/>
        <s v="15 de febrero de 2025"/>
        <s v="1 de marzo de 2025"/>
        <s v="28 de febrero de 2025"/>
        <s v="15 de marzo de 2025"/>
        <s v="14 de marzo de 2025"/>
        <s v="29 de marzo de 2025"/>
        <s v="28 de marzo de 2025"/>
      </sharedItems>
    </cacheField>
    <cacheField name="HORAS ACADEMICAS" numFmtId="0">
      <sharedItems containsString="0" containsBlank="1" containsNumber="1" containsInteger="1">
        <n v="30.0"/>
        <m/>
      </sharedItems>
    </cacheField>
    <cacheField name=" " numFmtId="0">
      <sharedItems containsString="0" containsBlank="1">
        <m/>
      </sharedItems>
    </cacheField>
    <cacheField name="CATEGORÍA Q10" numFmtId="0">
      <sharedItems containsBlank="1">
        <s v="Administración, contabilidad y finanzas"/>
        <m/>
      </sharedItems>
    </cacheField>
    <cacheField name="DOCENTE" numFmtId="0">
      <sharedItems containsBlank="1">
        <s v="Cursos Aa- Cursos Grabados Y En Vivo"/>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0" sheet="DETALLE POR ZONAS"/>
  </cacheSource>
  <cacheFields>
    <cacheField name="ZONA" numFmtId="0">
      <sharedItems>
        <s v="ZONA LOGÍSTICA MINERA"/>
        <s v="ZONA SEGURIDAD Y MINERÍA INTELIGENTE"/>
        <s v="ZONA GEO MINERÍA"/>
        <s v="ZONA GESTIÓN MINERA"/>
        <s v="ZONA GESTIÓN AMBIENTAL SOSTENIBLE"/>
      </sharedItems>
    </cacheField>
    <cacheField name="PROGRAMA" numFmtId="0">
      <sharedItems>
        <s v="GESTIÓN LOGÍSTICA Y ALMACENES EN MINERÍA"/>
        <s v="GESTIÓN LOGÍSTICA Y PROVEEDORES EN LA INDUSTRIA Y MINERÍA"/>
        <s v="SUPPLY CHAIN MANAGEMENT EN INDUSTRIA Y MINERÍA"/>
        <s v="ESPECIALISTA EN COMERCIO INTERNACIONAL: GESTIÓN ADUANERA Y LOGÍSTICA"/>
        <s v="SEGURIDAD INDUSTRIAL"/>
        <s v="SEGURIDAD Y SALUD OCUPACIONAL EN LA INDUSTRIA Y MINERÍA (4 MÓDULOS)"/>
        <s v="GESTIÓN ESTRATÉGICA PARA EMPRESAS UTILIZANDO BIG DATA Y ANÁLISIS PREDICTIVO"/>
        <s v="MINERÍA 4.0 Y DIGITALIZACIÓN MINERA"/>
        <s v="GEOMETALURGIA"/>
        <s v="GEOMECÁNICA SUBTERRÁNEA Y SUPERFICIAL"/>
        <s v="GEOTECNIA MINERA"/>
        <s v="GEOLOGÍA MINERA"/>
        <s v="GESTIÓN MINERA"/>
        <s v="GESTIÓN DE OPERACIONES INDUSTRIALES"/>
        <s v="GESTIÓN DE CONTROL OPERATIVO EN PROCESOS MINEROS"/>
        <s v="GERENCIA DE SISTEMAS INTEGRADOS DE GESTIÓN HSEQ"/>
        <s v="DERECHO MINERO"/>
        <s v="GESTIÓN AMBIENTAL PARA EL SECTOR MINERO E INDUSTRIAL"/>
        <s v="PREVENCIÓN DE LA CONFLICTIVIDAD, RIESGOS SOCIALES Y RESPONSABILIDAD SOCIAL MINERA"/>
      </sharedItems>
    </cacheField>
    <cacheField name="Columna 1" numFmtId="0">
      <sharedItems containsString="0" containsBlank="1">
        <m/>
      </sharedItems>
    </cacheField>
    <cacheField name="CURSOS" numFmtId="0">
      <sharedItems containsString="0" containsBlank="1">
        <m/>
      </sharedItems>
    </cacheField>
    <cacheField name="Columna 2" numFmtId="0">
      <sharedItems containsString="0" containsBlank="1">
        <m/>
      </sharedItems>
    </cacheField>
    <cacheField name="Columna 3" numFmtId="0">
      <sharedItems containsString="0" containsBlank="1">
        <m/>
      </sharedItems>
    </cacheField>
    <cacheField name="Columna 4" numFmtId="0">
      <sharedItems containsString="0" containsBlank="1">
        <m/>
      </sharedItems>
    </cacheField>
    <cacheField name="Columna 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 1" cacheId="0" dataCaption="" compact="0" compactData="0">
  <location ref="A1:B9" firstHeaderRow="0" firstDataRow="1" firstDataCol="0"/>
  <pivotFields>
    <pivotField name="CURSO (74 cursos o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UR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VISADOS PARA SUBIR" compact="0" outline="0" multipleItemSelectionAllowed="1" showAll="0">
      <items>
        <item x="0"/>
        <item x="1"/>
        <item x="2"/>
        <item t="default"/>
      </items>
    </pivotField>
    <pivotField name="ASIGNADO" compact="0" outline="0" multipleItemSelectionAllowed="1" showAll="0">
      <items>
        <item x="0"/>
        <item x="1"/>
        <item t="default"/>
      </items>
    </pivotField>
    <pivotField name="SUBIDO A SKOOL" dataField="1" compact="0" outline="0" multipleItemSelectionAllowed="1" showAll="0">
      <items>
        <item x="0"/>
        <item x="1"/>
        <item t="default"/>
      </items>
    </pivotField>
    <pivotField name="CREACIÓN DE CURSO EN SKOOL" axis="axisRow" compact="0" outline="0" multipleItemSelectionAllowed="1" showAll="0" sortType="ascending">
      <items>
        <item x="1"/>
        <item x="5"/>
        <item x="6"/>
        <item x="4"/>
        <item x="2"/>
        <item x="3"/>
        <item x="0"/>
        <item t="default"/>
      </items>
    </pivotField>
    <pivotField name="CREACIÓN DE CURSO EN Q10" compact="0" outline="0" multipleItemSelectionAllowed="1" showAll="0">
      <items>
        <item x="0"/>
        <item x="1"/>
        <item t="default"/>
      </items>
    </pivotField>
    <pivotField name="CL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LINK YOUTUBE IFR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LINK YOUTUB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clase2" compact="0" outline="0" multipleItemSelectionAllowed="1" showAll="0">
      <items>
        <item x="0"/>
        <item x="1"/>
        <item x="2"/>
        <item x="3"/>
        <item x="4"/>
        <item x="5"/>
        <item x="6"/>
        <item x="7"/>
        <item x="8"/>
        <item x="9"/>
        <item x="10"/>
        <item t="default"/>
      </items>
    </pivotField>
    <pivotField name="TEM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RANSCRIPCION" compact="0" outline="0" multipleItemSelectionAllowed="1" showAll="0">
      <items>
        <item x="0"/>
        <item x="1"/>
        <item x="2"/>
        <item x="3"/>
        <item t="default"/>
      </items>
    </pivotField>
    <pivotField name="GENERADO (RO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ECHA INICIO" compact="0" outline="0" multipleItemSelectionAllowed="1" showAll="0">
      <items>
        <item x="0"/>
        <item x="1"/>
        <item x="2"/>
        <item x="3"/>
        <item x="4"/>
        <item x="5"/>
        <item x="6"/>
        <item x="7"/>
        <item x="8"/>
        <item x="9"/>
        <item x="10"/>
        <item x="11"/>
        <item x="12"/>
        <item t="default"/>
      </items>
    </pivotField>
    <pivotField name="FECHA FIN" compact="0" outline="0" multipleItemSelectionAllowed="1" showAll="0">
      <items>
        <item x="0"/>
        <item x="1"/>
        <item x="2"/>
        <item x="3"/>
        <item x="4"/>
        <item x="5"/>
        <item x="6"/>
        <item x="7"/>
        <item x="8"/>
        <item x="9"/>
        <item x="10"/>
        <item x="11"/>
        <item x="12"/>
        <item x="13"/>
        <item t="default"/>
      </items>
    </pivotField>
    <pivotField name="FECHA DE CERTIFICADO" compact="0" outline="0" multipleItemSelectionAllowed="1" showAll="0">
      <items>
        <item x="0"/>
        <item x="1"/>
        <item x="2"/>
        <item x="3"/>
        <item x="4"/>
        <item x="5"/>
        <item x="6"/>
        <item x="7"/>
        <item x="8"/>
        <item x="9"/>
        <item x="10"/>
        <item x="11"/>
        <item x="12"/>
        <item x="13"/>
        <item t="default"/>
      </items>
    </pivotField>
    <pivotField name="HORAS ACADEMICAS" compact="0" outline="0" multipleItemSelectionAllowed="1" showAll="0">
      <items>
        <item x="0"/>
        <item x="1"/>
        <item t="default"/>
      </items>
    </pivotField>
    <pivotField name=" " compact="0" outline="0" multipleItemSelectionAllowed="1" showAll="0">
      <items>
        <item x="0"/>
        <item t="default"/>
      </items>
    </pivotField>
    <pivotField name="CATEGORÍA Q10" compact="0" outline="0" multipleItemSelectionAllowed="1" showAll="0">
      <items>
        <item x="0"/>
        <item x="1"/>
        <item t="default"/>
      </items>
    </pivotField>
    <pivotField name="DOCENTE"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s>
  <rowFields>
    <field x="5"/>
  </rowFields>
  <dataFields>
    <dataField name="COUNTA of SUBIDO A SKOOL" fld="4" subtotal="count" baseField="0"/>
  </dataFields>
</pivotTableDefinition>
</file>

<file path=xl/pivotTables/pivotTable2.xml><?xml version="1.0" encoding="utf-8"?>
<pivotTableDefinition xmlns="http://schemas.openxmlformats.org/spreadsheetml/2006/main" name="DETALLE POR ZONAS" cacheId="1" dataCaption="" compact="0" compactData="0">
  <location ref="A28:B34" firstHeaderRow="0" firstDataRow="1" firstDataCol="0"/>
  <pivotFields>
    <pivotField name="ZONA" axis="axisRow" compact="0" outline="0" multipleItemSelectionAllowed="1" showAll="0" sortType="ascending">
      <items>
        <item x="2"/>
        <item x="4"/>
        <item x="3"/>
        <item x="0"/>
        <item x="1"/>
        <item t="default"/>
      </items>
    </pivotField>
    <pivotField name="PROGRAMA"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Columna 1" compact="0" outline="0" multipleItemSelectionAllowed="1" showAll="0">
      <items>
        <item x="0"/>
        <item t="default"/>
      </items>
    </pivotField>
    <pivotField name="CURSOS" compact="0" outline="0" multipleItemSelectionAllowed="1" showAll="0">
      <items>
        <item x="0"/>
        <item t="default"/>
      </items>
    </pivotField>
    <pivotField name="Columna 2" compact="0" outline="0" multipleItemSelectionAllowed="1" showAll="0">
      <items>
        <item x="0"/>
        <item t="default"/>
      </items>
    </pivotField>
    <pivotField name="Columna 3" compact="0" outline="0" multipleItemSelectionAllowed="1" showAll="0">
      <items>
        <item x="0"/>
        <item t="default"/>
      </items>
    </pivotField>
    <pivotField name="Columna 4" compact="0" outline="0" multipleItemSelectionAllowed="1" showAll="0">
      <items>
        <item x="0"/>
        <item t="default"/>
      </items>
    </pivotField>
    <pivotField name="Columna 5" compact="0" outline="0" multipleItemSelectionAllowed="1" showAll="0">
      <items>
        <item x="0"/>
        <item t="default"/>
      </items>
    </pivotField>
  </pivotFields>
  <rowFields>
    <field x="0"/>
  </rowFields>
  <dataFields>
    <dataField name="COUNTA of PROGRAMA" fld="1" subtotal="count" baseField="0"/>
  </dataFields>
</pivotTableDefinition>
</file>

<file path=xl/tables/table1.xml><?xml version="1.0" encoding="utf-8"?>
<table xmlns="http://schemas.openxmlformats.org/spreadsheetml/2006/main" ref="A1:H20" displayName="Tabla_1" name="Tabla_1" id="1">
  <tableColumns count="8">
    <tableColumn name="ZONA" id="1"/>
    <tableColumn name="PROGRAMA" id="2"/>
    <tableColumn name="Columna 1" id="3"/>
    <tableColumn name="CURSOS" id="4"/>
    <tableColumn name="Columna 2" id="5"/>
    <tableColumn name="Columna 3" id="6"/>
    <tableColumn name="Columna 4" id="7"/>
    <tableColumn name="Columna 5" id="8"/>
  </tableColumns>
  <tableStyleInfo name="DETALLE POR ZON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z3OXjK4mn3M" TargetMode="External"/><Relationship Id="rId190" Type="http://schemas.openxmlformats.org/officeDocument/2006/relationships/hyperlink" Target="https://www.youtube.com/watch?v=EMoNdLRn4Ns" TargetMode="External"/><Relationship Id="rId42" Type="http://schemas.openxmlformats.org/officeDocument/2006/relationships/hyperlink" Target="https://www.youtube.com/watch?v=1ngKQh_nKpA" TargetMode="External"/><Relationship Id="rId41" Type="http://schemas.openxmlformats.org/officeDocument/2006/relationships/hyperlink" Target="https://www.youtube.com/watch?v=k7pYtlmoTgY" TargetMode="External"/><Relationship Id="rId44" Type="http://schemas.openxmlformats.org/officeDocument/2006/relationships/hyperlink" Target="https://www.youtube.com/watch?v=WT87cCEYFRM" TargetMode="External"/><Relationship Id="rId194" Type="http://schemas.openxmlformats.org/officeDocument/2006/relationships/hyperlink" Target="https://www.youtube.com/watch?v=0Yni3p0o1_8" TargetMode="External"/><Relationship Id="rId43" Type="http://schemas.openxmlformats.org/officeDocument/2006/relationships/hyperlink" Target="https://www.youtube.com/live/WT87cCEYFRM?" TargetMode="External"/><Relationship Id="rId193" Type="http://schemas.openxmlformats.org/officeDocument/2006/relationships/hyperlink" Target="https://www.youtube.com/watch?v=r4dLVZh7oi8" TargetMode="External"/><Relationship Id="rId46" Type="http://schemas.openxmlformats.org/officeDocument/2006/relationships/hyperlink" Target="https://www.youtube.com/watch?v=kyaj0F42pTU" TargetMode="External"/><Relationship Id="rId192" Type="http://schemas.openxmlformats.org/officeDocument/2006/relationships/hyperlink" Target="https://www.youtube.com/watch?v=u3T1y77D1mE" TargetMode="External"/><Relationship Id="rId45" Type="http://schemas.openxmlformats.org/officeDocument/2006/relationships/hyperlink" Target="https://www.youtube.com/watch?v=1WFr2u8rKSU" TargetMode="External"/><Relationship Id="rId191" Type="http://schemas.openxmlformats.org/officeDocument/2006/relationships/hyperlink" Target="https://www.youtube.com/watch?v=NnSKpz6Itq0" TargetMode="External"/><Relationship Id="rId48" Type="http://schemas.openxmlformats.org/officeDocument/2006/relationships/hyperlink" Target="https://www.youtube.com/watch?v=jLeuaX-G3Hs" TargetMode="External"/><Relationship Id="rId187" Type="http://schemas.openxmlformats.org/officeDocument/2006/relationships/hyperlink" Target="https://www.youtube.com/watch?v=2cN7a5yrktM" TargetMode="External"/><Relationship Id="rId47" Type="http://schemas.openxmlformats.org/officeDocument/2006/relationships/hyperlink" Target="https://www.youtube.com/watch?v=qdC2jgv49og" TargetMode="External"/><Relationship Id="rId186" Type="http://schemas.openxmlformats.org/officeDocument/2006/relationships/hyperlink" Target="https://www.youtube.com/watch?v=z9TnWuNNVjY" TargetMode="External"/><Relationship Id="rId185" Type="http://schemas.openxmlformats.org/officeDocument/2006/relationships/hyperlink" Target="https://www.youtube.com/watch?v=izrq5fGiM28" TargetMode="External"/><Relationship Id="rId49" Type="http://schemas.openxmlformats.org/officeDocument/2006/relationships/hyperlink" Target="https://www.youtube.com/watch?v=LD6oSbGfkFU" TargetMode="External"/><Relationship Id="rId184" Type="http://schemas.openxmlformats.org/officeDocument/2006/relationships/hyperlink" Target="https://www.youtube.com/watch?v=hmEevJCvEyQ" TargetMode="External"/><Relationship Id="rId189" Type="http://schemas.openxmlformats.org/officeDocument/2006/relationships/hyperlink" Target="https://www.youtube.com/watch?v=1b4z9bkAack" TargetMode="External"/><Relationship Id="rId188" Type="http://schemas.openxmlformats.org/officeDocument/2006/relationships/hyperlink" Target="https://www.youtube.com/watch?v=pr5NN0hn5ww" TargetMode="External"/><Relationship Id="rId31" Type="http://schemas.openxmlformats.org/officeDocument/2006/relationships/hyperlink" Target="https://www.youtube.com/watch?v=rmg-UHlIzoA" TargetMode="External"/><Relationship Id="rId30" Type="http://schemas.openxmlformats.org/officeDocument/2006/relationships/hyperlink" Target="https://www.youtube.com/watch?v=mNqKgdl6Tzs" TargetMode="External"/><Relationship Id="rId33" Type="http://schemas.openxmlformats.org/officeDocument/2006/relationships/hyperlink" Target="https://www.youtube.com/watch?v=aHoENZaJGAw" TargetMode="External"/><Relationship Id="rId183" Type="http://schemas.openxmlformats.org/officeDocument/2006/relationships/hyperlink" Target="https://www.youtube.com/watch?v=Cv_RlmqXSZk" TargetMode="External"/><Relationship Id="rId32" Type="http://schemas.openxmlformats.org/officeDocument/2006/relationships/hyperlink" Target="https://www.youtube.com/watch?v=9NsuHQy0QC8" TargetMode="External"/><Relationship Id="rId182" Type="http://schemas.openxmlformats.org/officeDocument/2006/relationships/hyperlink" Target="https://www.youtube.com/watch?v=3oXKrXXkfaA" TargetMode="External"/><Relationship Id="rId35" Type="http://schemas.openxmlformats.org/officeDocument/2006/relationships/hyperlink" Target="https://www.youtube.com/watch?v=ozB-gIAstz8" TargetMode="External"/><Relationship Id="rId181" Type="http://schemas.openxmlformats.org/officeDocument/2006/relationships/hyperlink" Target="https://www.youtube.com/watch?v=-nNdpfMN2Vg" TargetMode="External"/><Relationship Id="rId34" Type="http://schemas.openxmlformats.org/officeDocument/2006/relationships/hyperlink" Target="https://www.youtube.com/watch?v=Ti4OsD_8CUA" TargetMode="External"/><Relationship Id="rId180" Type="http://schemas.openxmlformats.org/officeDocument/2006/relationships/hyperlink" Target="https://youtube.com/live/-nNdpfMN2Vg?" TargetMode="External"/><Relationship Id="rId37" Type="http://schemas.openxmlformats.org/officeDocument/2006/relationships/hyperlink" Target="https://www.youtube.com/watch?v=b7dUQkR3am0" TargetMode="External"/><Relationship Id="rId176" Type="http://schemas.openxmlformats.org/officeDocument/2006/relationships/hyperlink" Target="https://www.youtube.com/watch?v=2CmWw6IXfPc" TargetMode="External"/><Relationship Id="rId297" Type="http://schemas.openxmlformats.org/officeDocument/2006/relationships/hyperlink" Target="https://youtube.com/live/jlrlI1veqlI?feature=share" TargetMode="External"/><Relationship Id="rId36" Type="http://schemas.openxmlformats.org/officeDocument/2006/relationships/hyperlink" Target="https://www.youtube.com/watch?v=fyNAO5zb9sU" TargetMode="External"/><Relationship Id="rId175" Type="http://schemas.openxmlformats.org/officeDocument/2006/relationships/hyperlink" Target="https://www.youtube.com/watch?v=1hCY_IUCXzc" TargetMode="External"/><Relationship Id="rId296" Type="http://schemas.openxmlformats.org/officeDocument/2006/relationships/hyperlink" Target="https://youtube.com/live/jlrlI1veqlI?feature=share" TargetMode="External"/><Relationship Id="rId39" Type="http://schemas.openxmlformats.org/officeDocument/2006/relationships/hyperlink" Target="https://www.youtube.com/watch?v=OVUzg3BcNxs" TargetMode="External"/><Relationship Id="rId174" Type="http://schemas.openxmlformats.org/officeDocument/2006/relationships/hyperlink" Target="https://www.youtube.com/watch?v=oBuVgNIC1Gk" TargetMode="External"/><Relationship Id="rId295" Type="http://schemas.openxmlformats.org/officeDocument/2006/relationships/hyperlink" Target="https://youtube.com/live/8LFZNQmrZvc?feature=share" TargetMode="External"/><Relationship Id="rId38" Type="http://schemas.openxmlformats.org/officeDocument/2006/relationships/hyperlink" Target="https://www.youtube.com/watch?v=nGgUIA2w3YI" TargetMode="External"/><Relationship Id="rId173" Type="http://schemas.openxmlformats.org/officeDocument/2006/relationships/hyperlink" Target="https://www.youtube.com/watch?v=sGOn3YPoMJw" TargetMode="External"/><Relationship Id="rId294" Type="http://schemas.openxmlformats.org/officeDocument/2006/relationships/hyperlink" Target="https://youtube.com/live/8LFZNQmrZvc?feature=share" TargetMode="External"/><Relationship Id="rId179" Type="http://schemas.openxmlformats.org/officeDocument/2006/relationships/hyperlink" Target="https://www.youtube.com/watch?v=e7kJA_0GDJ4" TargetMode="External"/><Relationship Id="rId178" Type="http://schemas.openxmlformats.org/officeDocument/2006/relationships/hyperlink" Target="https://youtube.com/live/e7kJA_0GDJ4?" TargetMode="External"/><Relationship Id="rId299" Type="http://schemas.openxmlformats.org/officeDocument/2006/relationships/hyperlink" Target="https://youtu.be/cwvcDjBpWPQ" TargetMode="External"/><Relationship Id="rId177" Type="http://schemas.openxmlformats.org/officeDocument/2006/relationships/hyperlink" Target="https://www.youtube.com/watch?v=dTsO9XHFhuY" TargetMode="External"/><Relationship Id="rId298" Type="http://schemas.openxmlformats.org/officeDocument/2006/relationships/hyperlink" Target="https://youtu.be/cwvcDjBpWPQ" TargetMode="External"/><Relationship Id="rId20" Type="http://schemas.openxmlformats.org/officeDocument/2006/relationships/hyperlink" Target="https://www.youtube.com/watch?v=uel312Qq5hM" TargetMode="External"/><Relationship Id="rId22" Type="http://schemas.openxmlformats.org/officeDocument/2006/relationships/hyperlink" Target="https://www.youtube.com/live/_MiGhWoqWqY?" TargetMode="External"/><Relationship Id="rId21" Type="http://schemas.openxmlformats.org/officeDocument/2006/relationships/hyperlink" Target="https://www.youtube.com/watch?v=UXUGUUqg5P4" TargetMode="External"/><Relationship Id="rId24" Type="http://schemas.openxmlformats.org/officeDocument/2006/relationships/hyperlink" Target="https://www.youtube.com/watch?v=jl44NKscLu8" TargetMode="External"/><Relationship Id="rId23" Type="http://schemas.openxmlformats.org/officeDocument/2006/relationships/hyperlink" Target="https://www.youtube.com/watch?v=_MiGhWoqWqY" TargetMode="External"/><Relationship Id="rId26" Type="http://schemas.openxmlformats.org/officeDocument/2006/relationships/hyperlink" Target="https://www.youtube.com/watch?v=07FOszC5N2U" TargetMode="External"/><Relationship Id="rId25" Type="http://schemas.openxmlformats.org/officeDocument/2006/relationships/hyperlink" Target="https://www.youtube.com/watch?v=jghOVERkJKw" TargetMode="External"/><Relationship Id="rId28" Type="http://schemas.openxmlformats.org/officeDocument/2006/relationships/hyperlink" Target="https://www.youtube.com/watch?v=6Ms87Rq4c30" TargetMode="External"/><Relationship Id="rId27" Type="http://schemas.openxmlformats.org/officeDocument/2006/relationships/hyperlink" Target="https://www.youtube.com/live/6Ms87Rq4c30?" TargetMode="External"/><Relationship Id="rId29" Type="http://schemas.openxmlformats.org/officeDocument/2006/relationships/hyperlink" Target="https://www.youtube.com/watch?v=tE9ceLJvHwU" TargetMode="External"/><Relationship Id="rId11" Type="http://schemas.openxmlformats.org/officeDocument/2006/relationships/hyperlink" Target="https://www.youtube.com/watch?v=UlFAlcui1Iw" TargetMode="External"/><Relationship Id="rId10" Type="http://schemas.openxmlformats.org/officeDocument/2006/relationships/hyperlink" Target="https://www.youtube.com/watch?v=-XxNjC5YTWU" TargetMode="External"/><Relationship Id="rId13" Type="http://schemas.openxmlformats.org/officeDocument/2006/relationships/hyperlink" Target="https://www.youtube.com/watch?v=d7f0Jg7Y5YY" TargetMode="External"/><Relationship Id="rId12" Type="http://schemas.openxmlformats.org/officeDocument/2006/relationships/hyperlink" Target="https://www.youtube.com/watch?v=424PbUvthZ0" TargetMode="External"/><Relationship Id="rId15" Type="http://schemas.openxmlformats.org/officeDocument/2006/relationships/hyperlink" Target="https://www.youtube.com/watch?v=jpXPolJzulY" TargetMode="External"/><Relationship Id="rId198" Type="http://schemas.openxmlformats.org/officeDocument/2006/relationships/hyperlink" Target="https://www.youtube.com/watch?v=DqKQ0hY2wmA" TargetMode="External"/><Relationship Id="rId14" Type="http://schemas.openxmlformats.org/officeDocument/2006/relationships/hyperlink" Target="https://www.youtube.com/watch?v=z0JpdWvpsM8" TargetMode="External"/><Relationship Id="rId197" Type="http://schemas.openxmlformats.org/officeDocument/2006/relationships/hyperlink" Target="https://www.youtube.com/watch?v=EU6VnAfIiJw" TargetMode="External"/><Relationship Id="rId17" Type="http://schemas.openxmlformats.org/officeDocument/2006/relationships/hyperlink" Target="https://www.youtube.com/watch?v=ezlES8BVzMo" TargetMode="External"/><Relationship Id="rId196" Type="http://schemas.openxmlformats.org/officeDocument/2006/relationships/hyperlink" Target="https://www.youtube.com/watch?v=L60EirO0BZo" TargetMode="External"/><Relationship Id="rId16" Type="http://schemas.openxmlformats.org/officeDocument/2006/relationships/hyperlink" Target="https://www.youtube.com/watch?v=wAlBvkZn5Jg" TargetMode="External"/><Relationship Id="rId195" Type="http://schemas.openxmlformats.org/officeDocument/2006/relationships/hyperlink" Target="https://www.youtube.com/watch?v=_9ZYtXAN_Fo" TargetMode="External"/><Relationship Id="rId19" Type="http://schemas.openxmlformats.org/officeDocument/2006/relationships/hyperlink" Target="https://www.youtube.com/watch?v=uGZhhP7DREQ" TargetMode="External"/><Relationship Id="rId18" Type="http://schemas.openxmlformats.org/officeDocument/2006/relationships/hyperlink" Target="https://www.youtube.com/watch?v=InTwibl_aG8" TargetMode="External"/><Relationship Id="rId199" Type="http://schemas.openxmlformats.org/officeDocument/2006/relationships/hyperlink" Target="https://www.youtube.com/watch?v=kafa4hfjkaY" TargetMode="External"/><Relationship Id="rId84" Type="http://schemas.openxmlformats.org/officeDocument/2006/relationships/hyperlink" Target="https://youtube.com/live/iNsT-mga0Jk?" TargetMode="External"/><Relationship Id="rId83" Type="http://schemas.openxmlformats.org/officeDocument/2006/relationships/hyperlink" Target="https://www.youtube.com/watch?v=cjKaqGPSzyQ" TargetMode="External"/><Relationship Id="rId86" Type="http://schemas.openxmlformats.org/officeDocument/2006/relationships/hyperlink" Target="https://www.youtube.com/watch?v=ASZqEEqOoFs" TargetMode="External"/><Relationship Id="rId85" Type="http://schemas.openxmlformats.org/officeDocument/2006/relationships/hyperlink" Target="https://www.youtube.com/watch?v=iNsT-mga0Jk" TargetMode="External"/><Relationship Id="rId88" Type="http://schemas.openxmlformats.org/officeDocument/2006/relationships/hyperlink" Target="https://www.youtube.com/watch?v=22xY82kg2rA" TargetMode="External"/><Relationship Id="rId150" Type="http://schemas.openxmlformats.org/officeDocument/2006/relationships/hyperlink" Target="https://www.youtube.com/watch?v=LFiqv1kn2rA" TargetMode="External"/><Relationship Id="rId271" Type="http://schemas.openxmlformats.org/officeDocument/2006/relationships/hyperlink" Target="https://www.youtube.com/watch?v=pbTeN_qCaEk" TargetMode="External"/><Relationship Id="rId87" Type="http://schemas.openxmlformats.org/officeDocument/2006/relationships/hyperlink" Target="https://www.youtube.com/watch?v=0XyYPcF1u6s" TargetMode="External"/><Relationship Id="rId270" Type="http://schemas.openxmlformats.org/officeDocument/2006/relationships/hyperlink" Target="https://youtube.com/live/pbTeN_qCaEk?" TargetMode="External"/><Relationship Id="rId89" Type="http://schemas.openxmlformats.org/officeDocument/2006/relationships/hyperlink" Target="https://www.youtube.com/watch?v=ySMqrteo540" TargetMode="External"/><Relationship Id="rId80" Type="http://schemas.openxmlformats.org/officeDocument/2006/relationships/hyperlink" Target="https://www.youtube.com/watch?v=ismQD4kej3E" TargetMode="External"/><Relationship Id="rId82" Type="http://schemas.openxmlformats.org/officeDocument/2006/relationships/hyperlink" Target="https://www.youtube.com/watch?v=FLzgNFkWFE4" TargetMode="External"/><Relationship Id="rId81" Type="http://schemas.openxmlformats.org/officeDocument/2006/relationships/hyperlink" Target="https://www.youtube.com/watch?v=k5joz3niO10" TargetMode="External"/><Relationship Id="rId1" Type="http://schemas.openxmlformats.org/officeDocument/2006/relationships/hyperlink" Target="https://www.youtube.com/watch?v=dJWHecyW_-I" TargetMode="External"/><Relationship Id="rId2" Type="http://schemas.openxmlformats.org/officeDocument/2006/relationships/hyperlink" Target="https://www.youtube.com/watch?v=OXb7rpvAm4I" TargetMode="External"/><Relationship Id="rId3" Type="http://schemas.openxmlformats.org/officeDocument/2006/relationships/hyperlink" Target="https://www.youtube.com/watch?v=1lI7DvubMUM" TargetMode="External"/><Relationship Id="rId149" Type="http://schemas.openxmlformats.org/officeDocument/2006/relationships/hyperlink" Target="https://www.youtube.com/watch?v=SlSMOt9WP5s" TargetMode="External"/><Relationship Id="rId4" Type="http://schemas.openxmlformats.org/officeDocument/2006/relationships/hyperlink" Target="https://www.youtube.com/watch?v=AGtFQ3G1FCU" TargetMode="External"/><Relationship Id="rId148" Type="http://schemas.openxmlformats.org/officeDocument/2006/relationships/hyperlink" Target="https://www.youtube.com/watch?v=l1PKRWjuX98" TargetMode="External"/><Relationship Id="rId269" Type="http://schemas.openxmlformats.org/officeDocument/2006/relationships/hyperlink" Target="https://www.youtube.com/watch?v=NXQFBkkXRDc" TargetMode="External"/><Relationship Id="rId9" Type="http://schemas.openxmlformats.org/officeDocument/2006/relationships/hyperlink" Target="https://www.youtube.com/watch?v=Kwp1T7tc7n0" TargetMode="External"/><Relationship Id="rId143" Type="http://schemas.openxmlformats.org/officeDocument/2006/relationships/hyperlink" Target="https://youtube.com/live/cvNbOE_UfuU?" TargetMode="External"/><Relationship Id="rId264" Type="http://schemas.openxmlformats.org/officeDocument/2006/relationships/hyperlink" Target="https://youtube.com/live/U_3HI15SU6o?feature=share" TargetMode="External"/><Relationship Id="rId142" Type="http://schemas.openxmlformats.org/officeDocument/2006/relationships/hyperlink" Target="https://www.youtube.com/watch?v=pRsYzX1HU68" TargetMode="External"/><Relationship Id="rId263" Type="http://schemas.openxmlformats.org/officeDocument/2006/relationships/hyperlink" Target="https://www.youtube.com/watch?v=aAGSbABpRLc" TargetMode="External"/><Relationship Id="rId141" Type="http://schemas.openxmlformats.org/officeDocument/2006/relationships/hyperlink" Target="https://youtube.com/live/pRsYzX1HU68?" TargetMode="External"/><Relationship Id="rId262" Type="http://schemas.openxmlformats.org/officeDocument/2006/relationships/hyperlink" Target="https://youtube.com/live/aAGSbABpRLc?feature=share" TargetMode="External"/><Relationship Id="rId140" Type="http://schemas.openxmlformats.org/officeDocument/2006/relationships/hyperlink" Target="https://www.youtube.com/watch?v=ypqvFWMQgHU" TargetMode="External"/><Relationship Id="rId261" Type="http://schemas.openxmlformats.org/officeDocument/2006/relationships/hyperlink" Target="https://www.youtube.com/watch?v=5KgvIuqlddE" TargetMode="External"/><Relationship Id="rId5" Type="http://schemas.openxmlformats.org/officeDocument/2006/relationships/hyperlink" Target="https://www.youtube.com/watch?v=ezIG1eilHYg" TargetMode="External"/><Relationship Id="rId147" Type="http://schemas.openxmlformats.org/officeDocument/2006/relationships/hyperlink" Target="https://youtube.com/live/l1PKRWjuX98" TargetMode="External"/><Relationship Id="rId268" Type="http://schemas.openxmlformats.org/officeDocument/2006/relationships/hyperlink" Target="https://www.youtube.com/watch?v=OqFlA1Nr1T8" TargetMode="External"/><Relationship Id="rId6" Type="http://schemas.openxmlformats.org/officeDocument/2006/relationships/hyperlink" Target="https://www.youtube.com/watch?v=WzfXRcMAedg" TargetMode="External"/><Relationship Id="rId146" Type="http://schemas.openxmlformats.org/officeDocument/2006/relationships/hyperlink" Target="https://www.youtube.com/watch?v=m7zFyn-BtKs" TargetMode="External"/><Relationship Id="rId267" Type="http://schemas.openxmlformats.org/officeDocument/2006/relationships/hyperlink" Target="https://www.youtube.com/watch?v=guDoLshQGlo" TargetMode="External"/><Relationship Id="rId7" Type="http://schemas.openxmlformats.org/officeDocument/2006/relationships/hyperlink" Target="https://www.youtube.com/watch?v=l3d1FJjsBnI" TargetMode="External"/><Relationship Id="rId145" Type="http://schemas.openxmlformats.org/officeDocument/2006/relationships/hyperlink" Target="https://youtube.com/live/m7zFyn-BtKs?" TargetMode="External"/><Relationship Id="rId266" Type="http://schemas.openxmlformats.org/officeDocument/2006/relationships/hyperlink" Target="https://youtube.com/live/guDoLshQGlo?feature=share" TargetMode="External"/><Relationship Id="rId8" Type="http://schemas.openxmlformats.org/officeDocument/2006/relationships/hyperlink" Target="https://www.youtube.com/watch?v=iGRxLKNnaT8" TargetMode="External"/><Relationship Id="rId144" Type="http://schemas.openxmlformats.org/officeDocument/2006/relationships/hyperlink" Target="https://www.youtube.com/watch?v=cvNbOE_UfuU" TargetMode="External"/><Relationship Id="rId265" Type="http://schemas.openxmlformats.org/officeDocument/2006/relationships/hyperlink" Target="https://www.youtube.com/watch?v=U_3HI15SU6o" TargetMode="External"/><Relationship Id="rId73" Type="http://schemas.openxmlformats.org/officeDocument/2006/relationships/hyperlink" Target="https://www.youtube.com/watch?v=JuTDWiaNQ_Q" TargetMode="External"/><Relationship Id="rId72" Type="http://schemas.openxmlformats.org/officeDocument/2006/relationships/hyperlink" Target="https://www.youtube.com/watch?v=IL_gbYIdcoo" TargetMode="External"/><Relationship Id="rId75" Type="http://schemas.openxmlformats.org/officeDocument/2006/relationships/hyperlink" Target="https://youtube.com/live/tQ53yAu_Zf4?" TargetMode="External"/><Relationship Id="rId74" Type="http://schemas.openxmlformats.org/officeDocument/2006/relationships/hyperlink" Target="https://www.youtube.com/watch?v=KCi0XIqlWfw" TargetMode="External"/><Relationship Id="rId77" Type="http://schemas.openxmlformats.org/officeDocument/2006/relationships/hyperlink" Target="https://www.youtube.com/watch?v=LN9iVEIEs9U" TargetMode="External"/><Relationship Id="rId260" Type="http://schemas.openxmlformats.org/officeDocument/2006/relationships/hyperlink" Target="https://www.youtube.com/watch?v=5u2ptqn39sY" TargetMode="External"/><Relationship Id="rId76" Type="http://schemas.openxmlformats.org/officeDocument/2006/relationships/hyperlink" Target="https://www.youtube.com/watch?v=tQ53yAu_Zf4" TargetMode="External"/><Relationship Id="rId79" Type="http://schemas.openxmlformats.org/officeDocument/2006/relationships/hyperlink" Target="https://www.youtube.com/watch?v=iOqVUVy_u94" TargetMode="External"/><Relationship Id="rId78" Type="http://schemas.openxmlformats.org/officeDocument/2006/relationships/hyperlink" Target="https://www.youtube.com/watch?v=3HL99bvtxyI" TargetMode="External"/><Relationship Id="rId71" Type="http://schemas.openxmlformats.org/officeDocument/2006/relationships/hyperlink" Target="https://www.youtube.com/watch?v=mb0L2PI7s_c" TargetMode="External"/><Relationship Id="rId70" Type="http://schemas.openxmlformats.org/officeDocument/2006/relationships/hyperlink" Target="https://www.youtube.com/watch?v=E9Xsqn780Xg" TargetMode="External"/><Relationship Id="rId139" Type="http://schemas.openxmlformats.org/officeDocument/2006/relationships/hyperlink" Target="https://www.youtube.com/watch?v=vthtLc8S5Lk" TargetMode="External"/><Relationship Id="rId138" Type="http://schemas.openxmlformats.org/officeDocument/2006/relationships/hyperlink" Target="https://www.youtube.com/watch?v=5TkpFvGchEM" TargetMode="External"/><Relationship Id="rId259" Type="http://schemas.openxmlformats.org/officeDocument/2006/relationships/hyperlink" Target="https://www.youtube.com/watch?v=y7e4TYMfT-M" TargetMode="External"/><Relationship Id="rId137" Type="http://schemas.openxmlformats.org/officeDocument/2006/relationships/hyperlink" Target="https://www.youtube.com/watch?v=j-4sVmTg4Bg" TargetMode="External"/><Relationship Id="rId258" Type="http://schemas.openxmlformats.org/officeDocument/2006/relationships/hyperlink" Target="https://www.youtube.com/live/y7e4TYMfT-M?" TargetMode="External"/><Relationship Id="rId132" Type="http://schemas.openxmlformats.org/officeDocument/2006/relationships/hyperlink" Target="https://www.youtube.com/watch?v=QO3y3kPZzgs" TargetMode="External"/><Relationship Id="rId253" Type="http://schemas.openxmlformats.org/officeDocument/2006/relationships/hyperlink" Target="https://www.youtube.com/watch?v=U9X3-rnPBYk" TargetMode="External"/><Relationship Id="rId131" Type="http://schemas.openxmlformats.org/officeDocument/2006/relationships/hyperlink" Target="https://www.youtube.com/watch?v=GL8EbzyF4ck" TargetMode="External"/><Relationship Id="rId252" Type="http://schemas.openxmlformats.org/officeDocument/2006/relationships/hyperlink" Target="https://youtube.com/live/U9X3-rnPBYk?feature=share%C2%BF" TargetMode="External"/><Relationship Id="rId130" Type="http://schemas.openxmlformats.org/officeDocument/2006/relationships/hyperlink" Target="https://www.youtube.com/watch?v=5QfpFKXkod8" TargetMode="External"/><Relationship Id="rId251" Type="http://schemas.openxmlformats.org/officeDocument/2006/relationships/hyperlink" Target="https://www.youtube.com/watch?v=N4eLEss4Aao" TargetMode="External"/><Relationship Id="rId250" Type="http://schemas.openxmlformats.org/officeDocument/2006/relationships/hyperlink" Target="https://www.youtube.com/watch?v=gG5HUxZTPEw" TargetMode="External"/><Relationship Id="rId136" Type="http://schemas.openxmlformats.org/officeDocument/2006/relationships/hyperlink" Target="https://www.youtube.com/watch?v=q3mJ97iNiU0" TargetMode="External"/><Relationship Id="rId257" Type="http://schemas.openxmlformats.org/officeDocument/2006/relationships/hyperlink" Target="https://www.youtube.com/watch?v=EWefzYJlUT8" TargetMode="External"/><Relationship Id="rId135" Type="http://schemas.openxmlformats.org/officeDocument/2006/relationships/hyperlink" Target="https://www.youtube.com/watch?v=eTGJR9dFGYs" TargetMode="External"/><Relationship Id="rId256" Type="http://schemas.openxmlformats.org/officeDocument/2006/relationships/hyperlink" Target="https://www.youtube.com/watch?v=0nBP_kt7ldA" TargetMode="External"/><Relationship Id="rId134" Type="http://schemas.openxmlformats.org/officeDocument/2006/relationships/hyperlink" Target="https://www.youtube.com/watch?v=O51p2hacKno" TargetMode="External"/><Relationship Id="rId255" Type="http://schemas.openxmlformats.org/officeDocument/2006/relationships/hyperlink" Target="https://www.youtube.com/watch?v=Dp7hqGNLcsk" TargetMode="External"/><Relationship Id="rId133" Type="http://schemas.openxmlformats.org/officeDocument/2006/relationships/hyperlink" Target="https://www.youtube.com/watch?v=Sq9R4XgMZCU" TargetMode="External"/><Relationship Id="rId254" Type="http://schemas.openxmlformats.org/officeDocument/2006/relationships/hyperlink" Target="https://www.youtube.com/watch?v=xtwLSdjZPT8" TargetMode="External"/><Relationship Id="rId62" Type="http://schemas.openxmlformats.org/officeDocument/2006/relationships/hyperlink" Target="https://www.youtube.com/watch?v=p1a7r_YmrdA" TargetMode="External"/><Relationship Id="rId61" Type="http://schemas.openxmlformats.org/officeDocument/2006/relationships/hyperlink" Target="https://www.youtube.com/live/p1a7r_YmrdA?" TargetMode="External"/><Relationship Id="rId64" Type="http://schemas.openxmlformats.org/officeDocument/2006/relationships/hyperlink" Target="https://www.youtube.com/watch?v=HqDKhmbPYno" TargetMode="External"/><Relationship Id="rId63" Type="http://schemas.openxmlformats.org/officeDocument/2006/relationships/hyperlink" Target="https://www.youtube.com/watch?v=0FfbK6RZ22M" TargetMode="External"/><Relationship Id="rId66" Type="http://schemas.openxmlformats.org/officeDocument/2006/relationships/hyperlink" Target="https://www.youtube.com/watch?v=TO8myacc6OY" TargetMode="External"/><Relationship Id="rId172" Type="http://schemas.openxmlformats.org/officeDocument/2006/relationships/hyperlink" Target="https://www.youtube.com/watch?v=uWBJbS-Vz4M" TargetMode="External"/><Relationship Id="rId293" Type="http://schemas.openxmlformats.org/officeDocument/2006/relationships/hyperlink" Target="https://youtu.be/3UtZkHdsK4I" TargetMode="External"/><Relationship Id="rId65" Type="http://schemas.openxmlformats.org/officeDocument/2006/relationships/hyperlink" Target="https://www.youtube.com/watch?v=NWAm7TKvVXg" TargetMode="External"/><Relationship Id="rId171" Type="http://schemas.openxmlformats.org/officeDocument/2006/relationships/hyperlink" Target="https://www.youtube.com/watch?v=9kCOepysZo0" TargetMode="External"/><Relationship Id="rId292" Type="http://schemas.openxmlformats.org/officeDocument/2006/relationships/hyperlink" Target="https://youtu.be/3UtZkHdsK4I" TargetMode="External"/><Relationship Id="rId68" Type="http://schemas.openxmlformats.org/officeDocument/2006/relationships/hyperlink" Target="https://www.youtube.com/watch?v=E6FpvYBkSKw" TargetMode="External"/><Relationship Id="rId170" Type="http://schemas.openxmlformats.org/officeDocument/2006/relationships/hyperlink" Target="https://www.youtube.com/watch?v=Tf_8cAbgV_Q" TargetMode="External"/><Relationship Id="rId291" Type="http://schemas.openxmlformats.org/officeDocument/2006/relationships/hyperlink" Target="https://youtu.be/sw3MaBxVcgs" TargetMode="External"/><Relationship Id="rId67" Type="http://schemas.openxmlformats.org/officeDocument/2006/relationships/hyperlink" Target="https://www.youtube.com/live/E6FpvYBkSKw?" TargetMode="External"/><Relationship Id="rId290" Type="http://schemas.openxmlformats.org/officeDocument/2006/relationships/hyperlink" Target="https://youtu.be/sw3MaBxVcgs" TargetMode="External"/><Relationship Id="rId60" Type="http://schemas.openxmlformats.org/officeDocument/2006/relationships/hyperlink" Target="https://www.youtube.com/watch?v=vlHcoDpvB5c" TargetMode="External"/><Relationship Id="rId165" Type="http://schemas.openxmlformats.org/officeDocument/2006/relationships/hyperlink" Target="https://www.youtube.com/watch?v=Tf_8cAbgV_Q" TargetMode="External"/><Relationship Id="rId286" Type="http://schemas.openxmlformats.org/officeDocument/2006/relationships/hyperlink" Target="https://youtu.be/mIB0Lu48CP0" TargetMode="External"/><Relationship Id="rId69" Type="http://schemas.openxmlformats.org/officeDocument/2006/relationships/hyperlink" Target="https://www.youtube.com/watch?v=HlQkA5dlHf4" TargetMode="External"/><Relationship Id="rId164" Type="http://schemas.openxmlformats.org/officeDocument/2006/relationships/hyperlink" Target="https://youtube.com/live/Tf_8cAbgV_Q?" TargetMode="External"/><Relationship Id="rId285" Type="http://schemas.openxmlformats.org/officeDocument/2006/relationships/hyperlink" Target="https://youtu.be/4nCwl2XAybI" TargetMode="External"/><Relationship Id="rId163" Type="http://schemas.openxmlformats.org/officeDocument/2006/relationships/hyperlink" Target="https://www.youtube.com/watch?v=dhyD_UoqH1U" TargetMode="External"/><Relationship Id="rId284" Type="http://schemas.openxmlformats.org/officeDocument/2006/relationships/hyperlink" Target="https://youtu.be/i77VbfbEhE0" TargetMode="External"/><Relationship Id="rId162" Type="http://schemas.openxmlformats.org/officeDocument/2006/relationships/hyperlink" Target="https://youtube.com/live/dhyD_UoqH1U" TargetMode="External"/><Relationship Id="rId283" Type="http://schemas.openxmlformats.org/officeDocument/2006/relationships/hyperlink" Target="https://www.youtube.com/watch?v=C2J-2q2bwBs" TargetMode="External"/><Relationship Id="rId169" Type="http://schemas.openxmlformats.org/officeDocument/2006/relationships/hyperlink" Target="https://youtube.com/live/Tf_8cAbgV_Q?" TargetMode="External"/><Relationship Id="rId168" Type="http://schemas.openxmlformats.org/officeDocument/2006/relationships/hyperlink" Target="https://www.youtube.com/watch?v=sGOn3YPoMJw" TargetMode="External"/><Relationship Id="rId289" Type="http://schemas.openxmlformats.org/officeDocument/2006/relationships/hyperlink" Target="https://youtu.be/l6_i5JZa0ZU" TargetMode="External"/><Relationship Id="rId167" Type="http://schemas.openxmlformats.org/officeDocument/2006/relationships/hyperlink" Target="https://www.youtube.com/watch?v=uWBJbS-Vz4M" TargetMode="External"/><Relationship Id="rId288" Type="http://schemas.openxmlformats.org/officeDocument/2006/relationships/hyperlink" Target="https://youtu.be/l6_i5JZa0ZU" TargetMode="External"/><Relationship Id="rId166" Type="http://schemas.openxmlformats.org/officeDocument/2006/relationships/hyperlink" Target="https://www.youtube.com/watch?v=9kCOepysZo0" TargetMode="External"/><Relationship Id="rId287" Type="http://schemas.openxmlformats.org/officeDocument/2006/relationships/hyperlink" Target="https://youtu.be/mIB0Lu48CP0" TargetMode="External"/><Relationship Id="rId51" Type="http://schemas.openxmlformats.org/officeDocument/2006/relationships/hyperlink" Target="https://www.youtube.com/watch?v=aQYZnNVqr2c" TargetMode="External"/><Relationship Id="rId50" Type="http://schemas.openxmlformats.org/officeDocument/2006/relationships/hyperlink" Target="https://www.youtube.com/watch?v=F71dYyft28g" TargetMode="External"/><Relationship Id="rId53" Type="http://schemas.openxmlformats.org/officeDocument/2006/relationships/hyperlink" Target="https://www.youtube.com/watch?v=Y_O1pmn5AI0" TargetMode="External"/><Relationship Id="rId52" Type="http://schemas.openxmlformats.org/officeDocument/2006/relationships/hyperlink" Target="https://www.youtube.com/watch?v=cDn_mKRjs_w" TargetMode="External"/><Relationship Id="rId55" Type="http://schemas.openxmlformats.org/officeDocument/2006/relationships/hyperlink" Target="https://www.youtube.com/watch?v=mC3gBQbSi8E" TargetMode="External"/><Relationship Id="rId161" Type="http://schemas.openxmlformats.org/officeDocument/2006/relationships/hyperlink" Target="https://www.youtube.com/watch?v=Guf9n2TbwXI" TargetMode="External"/><Relationship Id="rId282" Type="http://schemas.openxmlformats.org/officeDocument/2006/relationships/hyperlink" Target="https://www.youtube.com/watch?v=JCuIfXtExFU" TargetMode="External"/><Relationship Id="rId54" Type="http://schemas.openxmlformats.org/officeDocument/2006/relationships/hyperlink" Target="https://www.youtube.com/watch?v=aoz3cGZ19QA" TargetMode="External"/><Relationship Id="rId160" Type="http://schemas.openxmlformats.org/officeDocument/2006/relationships/hyperlink" Target="https://youtube.com/live/Guf9n2TbwXI" TargetMode="External"/><Relationship Id="rId281" Type="http://schemas.openxmlformats.org/officeDocument/2006/relationships/hyperlink" Target="https://youtube.com/live/JCuIfXtExFU?" TargetMode="External"/><Relationship Id="rId57" Type="http://schemas.openxmlformats.org/officeDocument/2006/relationships/hyperlink" Target="https://www.youtube.com/watch?v=Axdv633ShjY" TargetMode="External"/><Relationship Id="rId280" Type="http://schemas.openxmlformats.org/officeDocument/2006/relationships/hyperlink" Target="https://www.youtube.com/watch?v=yhylUPjcdkc" TargetMode="External"/><Relationship Id="rId56" Type="http://schemas.openxmlformats.org/officeDocument/2006/relationships/hyperlink" Target="https://youtube.com/live/Axdv633ShjY?" TargetMode="External"/><Relationship Id="rId159" Type="http://schemas.openxmlformats.org/officeDocument/2006/relationships/hyperlink" Target="https://www.youtube.com/watch?v=wFfzwVJzat8" TargetMode="External"/><Relationship Id="rId59" Type="http://schemas.openxmlformats.org/officeDocument/2006/relationships/hyperlink" Target="https://www.youtube.com/watch?v=n5z9gs_SSEQ" TargetMode="External"/><Relationship Id="rId154" Type="http://schemas.openxmlformats.org/officeDocument/2006/relationships/hyperlink" Target="https://youtube.com/live/m7zFyn-BtKs?" TargetMode="External"/><Relationship Id="rId275" Type="http://schemas.openxmlformats.org/officeDocument/2006/relationships/hyperlink" Target="https://youtube.com/live/8q2uIts7_uY?" TargetMode="External"/><Relationship Id="rId58" Type="http://schemas.openxmlformats.org/officeDocument/2006/relationships/hyperlink" Target="https://www.youtube.com/watch?v=M8p1LNfXxbQ" TargetMode="External"/><Relationship Id="rId153" Type="http://schemas.openxmlformats.org/officeDocument/2006/relationships/hyperlink" Target="https://www.youtube.com/watch?v=E-csFjxgpCU" TargetMode="External"/><Relationship Id="rId274" Type="http://schemas.openxmlformats.org/officeDocument/2006/relationships/hyperlink" Target="https://www.youtube.com/watch?v=tHDeyxJWpDc" TargetMode="External"/><Relationship Id="rId152" Type="http://schemas.openxmlformats.org/officeDocument/2006/relationships/hyperlink" Target="https://www.youtube.com/watch?v=ColOytJoFSM" TargetMode="External"/><Relationship Id="rId273" Type="http://schemas.openxmlformats.org/officeDocument/2006/relationships/hyperlink" Target="https://www.youtube.com/watch?v=PN9JMPsGWJI" TargetMode="External"/><Relationship Id="rId151" Type="http://schemas.openxmlformats.org/officeDocument/2006/relationships/hyperlink" Target="https://www.youtube.com/watch?v=gUL83cHJnCM" TargetMode="External"/><Relationship Id="rId272" Type="http://schemas.openxmlformats.org/officeDocument/2006/relationships/hyperlink" Target="https://www.youtube.com/watch?v=QBwK1TDAy9E" TargetMode="External"/><Relationship Id="rId158" Type="http://schemas.openxmlformats.org/officeDocument/2006/relationships/hyperlink" Target="https://www.youtube.com/watch?v=qYuBFG0ohv4" TargetMode="External"/><Relationship Id="rId279" Type="http://schemas.openxmlformats.org/officeDocument/2006/relationships/hyperlink" Target="https://www.youtube.com/watch?v=w3-iIVNbbBA" TargetMode="External"/><Relationship Id="rId157" Type="http://schemas.openxmlformats.org/officeDocument/2006/relationships/hyperlink" Target="https://www.youtube.com/watch?v=UB05S62ivEA" TargetMode="External"/><Relationship Id="rId278" Type="http://schemas.openxmlformats.org/officeDocument/2006/relationships/hyperlink" Target="https://www.youtube.com/watch?v=S7w7aoauTX0" TargetMode="External"/><Relationship Id="rId156" Type="http://schemas.openxmlformats.org/officeDocument/2006/relationships/hyperlink" Target="https://www.youtube.com/watch?v=l1PKRWjuX98" TargetMode="External"/><Relationship Id="rId277" Type="http://schemas.openxmlformats.org/officeDocument/2006/relationships/hyperlink" Target="https://www.youtube.com/watch?v=NGa4N5su0Ok" TargetMode="External"/><Relationship Id="rId155" Type="http://schemas.openxmlformats.org/officeDocument/2006/relationships/hyperlink" Target="https://www.youtube.com/watch?v=m7zFyn-BtKs" TargetMode="External"/><Relationship Id="rId276" Type="http://schemas.openxmlformats.org/officeDocument/2006/relationships/hyperlink" Target="https://www.youtube.com/watch?v=8q2uIts7_uY" TargetMode="External"/><Relationship Id="rId107" Type="http://schemas.openxmlformats.org/officeDocument/2006/relationships/hyperlink" Target="https://www.youtube.com/watch?v=vzYSSY4fSkU" TargetMode="External"/><Relationship Id="rId228" Type="http://schemas.openxmlformats.org/officeDocument/2006/relationships/hyperlink" Target="https://www.youtube.com/watch?v=Xyo9Znb6iP4" TargetMode="External"/><Relationship Id="rId106" Type="http://schemas.openxmlformats.org/officeDocument/2006/relationships/hyperlink" Target="https://www.youtube.com/watch?v=jkqBPjH-peY" TargetMode="External"/><Relationship Id="rId227" Type="http://schemas.openxmlformats.org/officeDocument/2006/relationships/hyperlink" Target="https://www.youtube.com/watch?v=HXX6l6MavAE" TargetMode="External"/><Relationship Id="rId105" Type="http://schemas.openxmlformats.org/officeDocument/2006/relationships/hyperlink" Target="https://www.youtube.com/watch?v=k5LI3M-_mmI" TargetMode="External"/><Relationship Id="rId226" Type="http://schemas.openxmlformats.org/officeDocument/2006/relationships/hyperlink" Target="https://www.youtube.com/watch?v=MAy_-7UKQKI" TargetMode="External"/><Relationship Id="rId104" Type="http://schemas.openxmlformats.org/officeDocument/2006/relationships/hyperlink" Target="https://www.youtube.com/watch?v=D0C5UDynUsg" TargetMode="External"/><Relationship Id="rId225" Type="http://schemas.openxmlformats.org/officeDocument/2006/relationships/hyperlink" Target="https://www.youtube.com/watch?v=PvFPYZou8-g" TargetMode="External"/><Relationship Id="rId109" Type="http://schemas.openxmlformats.org/officeDocument/2006/relationships/hyperlink" Target="https://www.youtube.com/watch?v=PIdyKVEYGtE" TargetMode="External"/><Relationship Id="rId108" Type="http://schemas.openxmlformats.org/officeDocument/2006/relationships/hyperlink" Target="https://www.youtube.com/watch?v=58fa1BYLZ4I" TargetMode="External"/><Relationship Id="rId229" Type="http://schemas.openxmlformats.org/officeDocument/2006/relationships/hyperlink" Target="https://www.youtube.com/watch?v=jowPe8soOHI" TargetMode="External"/><Relationship Id="rId220" Type="http://schemas.openxmlformats.org/officeDocument/2006/relationships/hyperlink" Target="https://youtube.com/live/DJpYHQkhy_A?feature=share" TargetMode="External"/><Relationship Id="rId103" Type="http://schemas.openxmlformats.org/officeDocument/2006/relationships/hyperlink" Target="https://www.youtube.com/watch?v=CY1sqGGp4yw" TargetMode="External"/><Relationship Id="rId224" Type="http://schemas.openxmlformats.org/officeDocument/2006/relationships/hyperlink" Target="https://youtube.com/live/PvFPYZou8-g?" TargetMode="External"/><Relationship Id="rId102" Type="http://schemas.openxmlformats.org/officeDocument/2006/relationships/hyperlink" Target="https://www.youtube.com/watch?v=dWSqXshSziY" TargetMode="External"/><Relationship Id="rId223" Type="http://schemas.openxmlformats.org/officeDocument/2006/relationships/hyperlink" Target="https://www.youtube.com/watch?v=4B16cOWl0Ws" TargetMode="External"/><Relationship Id="rId101" Type="http://schemas.openxmlformats.org/officeDocument/2006/relationships/hyperlink" Target="https://www.youtube.com/watch?v=apRGBH5tLg0" TargetMode="External"/><Relationship Id="rId222" Type="http://schemas.openxmlformats.org/officeDocument/2006/relationships/hyperlink" Target="https://youtube.com/live/4B16cOWl0Ws?" TargetMode="External"/><Relationship Id="rId100" Type="http://schemas.openxmlformats.org/officeDocument/2006/relationships/hyperlink" Target="https://www.youtube.com/watch?v=bqfapBBDPH8" TargetMode="External"/><Relationship Id="rId221" Type="http://schemas.openxmlformats.org/officeDocument/2006/relationships/hyperlink" Target="https://www.youtube.com/watch?v=DJpYHQkhy_A" TargetMode="External"/><Relationship Id="rId217" Type="http://schemas.openxmlformats.org/officeDocument/2006/relationships/hyperlink" Target="https://www.youtube.com/watch?v=6d8l7sW5AQA" TargetMode="External"/><Relationship Id="rId216" Type="http://schemas.openxmlformats.org/officeDocument/2006/relationships/hyperlink" Target="https://youtube.com/live/6d8l7sW5AQA?feature=share" TargetMode="External"/><Relationship Id="rId215" Type="http://schemas.openxmlformats.org/officeDocument/2006/relationships/hyperlink" Target="https://www.youtube.com/watch?v=Ipo2ozYYxTI" TargetMode="External"/><Relationship Id="rId214" Type="http://schemas.openxmlformats.org/officeDocument/2006/relationships/hyperlink" Target="https://www.youtube.com/watch?v=HqH0V36anrM" TargetMode="External"/><Relationship Id="rId219" Type="http://schemas.openxmlformats.org/officeDocument/2006/relationships/hyperlink" Target="https://www.youtube.com/watch?v=RNWy1Iqjy4U" TargetMode="External"/><Relationship Id="rId218" Type="http://schemas.openxmlformats.org/officeDocument/2006/relationships/hyperlink" Target="https://www.youtube.com/watch?v=eVnHbhhQJkI" TargetMode="External"/><Relationship Id="rId213" Type="http://schemas.openxmlformats.org/officeDocument/2006/relationships/hyperlink" Target="https://youtube.com/live/HqH0V36anrM?feature=share" TargetMode="External"/><Relationship Id="rId212" Type="http://schemas.openxmlformats.org/officeDocument/2006/relationships/hyperlink" Target="https://www.youtube.com/watch?v=ag4TFSMV1KQ" TargetMode="External"/><Relationship Id="rId211" Type="http://schemas.openxmlformats.org/officeDocument/2006/relationships/hyperlink" Target="https://www.youtube.com/watch?v=cMNjuR9axxI" TargetMode="External"/><Relationship Id="rId210" Type="http://schemas.openxmlformats.org/officeDocument/2006/relationships/hyperlink" Target="https://www.youtube.com/watch?v=hxP4e5ibcwA" TargetMode="External"/><Relationship Id="rId129" Type="http://schemas.openxmlformats.org/officeDocument/2006/relationships/hyperlink" Target="https://www.youtube.com/live/5QfpFKXkod8?" TargetMode="External"/><Relationship Id="rId128" Type="http://schemas.openxmlformats.org/officeDocument/2006/relationships/hyperlink" Target="https://www.youtube.com/watch?v=DRQa8OGwsCg" TargetMode="External"/><Relationship Id="rId249" Type="http://schemas.openxmlformats.org/officeDocument/2006/relationships/hyperlink" Target="https://www.youtube.com/watch?v=yy7UNc6yy4A" TargetMode="External"/><Relationship Id="rId127" Type="http://schemas.openxmlformats.org/officeDocument/2006/relationships/hyperlink" Target="https://www.youtube.com/watch?v=ASmOYrJU964" TargetMode="External"/><Relationship Id="rId248" Type="http://schemas.openxmlformats.org/officeDocument/2006/relationships/hyperlink" Target="https://www.youtube.com/watch?v=DeNxp3Nt0Nw" TargetMode="External"/><Relationship Id="rId126" Type="http://schemas.openxmlformats.org/officeDocument/2006/relationships/hyperlink" Target="https://www.youtube.com/watch?v=kjR39tM2ayw" TargetMode="External"/><Relationship Id="rId247" Type="http://schemas.openxmlformats.org/officeDocument/2006/relationships/hyperlink" Target="https://www.youtube.com/watch?v=O-VgnyDJBJ8" TargetMode="External"/><Relationship Id="rId121" Type="http://schemas.openxmlformats.org/officeDocument/2006/relationships/hyperlink" Target="https://youtube.com/live/TmsPeJtt6-I?feature=share" TargetMode="External"/><Relationship Id="rId242" Type="http://schemas.openxmlformats.org/officeDocument/2006/relationships/hyperlink" Target="https://www.youtube.com/watch?v=zvauzjKvnM0" TargetMode="External"/><Relationship Id="rId120" Type="http://schemas.openxmlformats.org/officeDocument/2006/relationships/hyperlink" Target="https://www.youtube.com/watch?v=vkbMBFcq3Kg" TargetMode="External"/><Relationship Id="rId241" Type="http://schemas.openxmlformats.org/officeDocument/2006/relationships/hyperlink" Target="https://www.youtube.com/watch?v=2cqmD4ObYew" TargetMode="External"/><Relationship Id="rId240" Type="http://schemas.openxmlformats.org/officeDocument/2006/relationships/hyperlink" Target="https://www.youtube.com/watch?v=64mH22Iho8g" TargetMode="External"/><Relationship Id="rId125" Type="http://schemas.openxmlformats.org/officeDocument/2006/relationships/hyperlink" Target="https://www.youtube.com/watch?v=yFPOkT6G14I" TargetMode="External"/><Relationship Id="rId246" Type="http://schemas.openxmlformats.org/officeDocument/2006/relationships/hyperlink" Target="https://www.youtube.com/watch?v=7Wy6YLIRQ8c" TargetMode="External"/><Relationship Id="rId124" Type="http://schemas.openxmlformats.org/officeDocument/2006/relationships/hyperlink" Target="https://www.youtube.com/watch?v=-J8t1GpTXog" TargetMode="External"/><Relationship Id="rId245" Type="http://schemas.openxmlformats.org/officeDocument/2006/relationships/hyperlink" Target="https://www.youtube.com/watch?v=7WXIJEUEC3U" TargetMode="External"/><Relationship Id="rId123" Type="http://schemas.openxmlformats.org/officeDocument/2006/relationships/hyperlink" Target="https://youtube.com/live/-J8t1GpTXog?" TargetMode="External"/><Relationship Id="rId244" Type="http://schemas.openxmlformats.org/officeDocument/2006/relationships/hyperlink" Target="https://www.youtube.com/watch?v=i-TMOsQDNig" TargetMode="External"/><Relationship Id="rId122" Type="http://schemas.openxmlformats.org/officeDocument/2006/relationships/hyperlink" Target="https://www.youtube.com/watch?v=TmsPeJtt6-I" TargetMode="External"/><Relationship Id="rId243" Type="http://schemas.openxmlformats.org/officeDocument/2006/relationships/hyperlink" Target="https://www.youtube.com/watch?v=ngxMXNY73Fg" TargetMode="External"/><Relationship Id="rId95" Type="http://schemas.openxmlformats.org/officeDocument/2006/relationships/hyperlink" Target="https://www.youtube.com/watch?v=fGHmtkOpr2E" TargetMode="External"/><Relationship Id="rId94" Type="http://schemas.openxmlformats.org/officeDocument/2006/relationships/hyperlink" Target="https://www.youtube.com/watch?v=Q0gav66aYsc" TargetMode="External"/><Relationship Id="rId97" Type="http://schemas.openxmlformats.org/officeDocument/2006/relationships/hyperlink" Target="https://youtube.com/live/vHakGwlRd4o" TargetMode="External"/><Relationship Id="rId96" Type="http://schemas.openxmlformats.org/officeDocument/2006/relationships/hyperlink" Target="https://www.youtube.com/watch?v=loHNhtOyWGQ" TargetMode="External"/><Relationship Id="rId99" Type="http://schemas.openxmlformats.org/officeDocument/2006/relationships/hyperlink" Target="https://youtube.com/live/bqfapBBDPH8" TargetMode="External"/><Relationship Id="rId98" Type="http://schemas.openxmlformats.org/officeDocument/2006/relationships/hyperlink" Target="https://www.youtube.com/watch?v=vHakGwlRd4o" TargetMode="External"/><Relationship Id="rId91" Type="http://schemas.openxmlformats.org/officeDocument/2006/relationships/hyperlink" Target="https://www.youtube.com/watch?v=6mA1GD-i6WE" TargetMode="External"/><Relationship Id="rId90" Type="http://schemas.openxmlformats.org/officeDocument/2006/relationships/hyperlink" Target="https://www.youtube.com/watch?v=zTewunME6AY" TargetMode="External"/><Relationship Id="rId93" Type="http://schemas.openxmlformats.org/officeDocument/2006/relationships/hyperlink" Target="https://www.youtube.com/watch?v=_oPHB7b9QbU" TargetMode="External"/><Relationship Id="rId92" Type="http://schemas.openxmlformats.org/officeDocument/2006/relationships/hyperlink" Target="https://www.youtube.com/watch?v=O_0aE-2oXcI" TargetMode="External"/><Relationship Id="rId118" Type="http://schemas.openxmlformats.org/officeDocument/2006/relationships/hyperlink" Target="https://www.youtube.com/watch?v=gCgiRZk59tw" TargetMode="External"/><Relationship Id="rId239" Type="http://schemas.openxmlformats.org/officeDocument/2006/relationships/hyperlink" Target="https://www.youtube.com/watch?v=N2dw5g-MX6U" TargetMode="External"/><Relationship Id="rId117" Type="http://schemas.openxmlformats.org/officeDocument/2006/relationships/hyperlink" Target="https://www.youtube.com/watch?v=sEjoIrWkxiI" TargetMode="External"/><Relationship Id="rId238" Type="http://schemas.openxmlformats.org/officeDocument/2006/relationships/hyperlink" Target="https://www.youtube.com/watch?v=g8BtcRFryq4" TargetMode="External"/><Relationship Id="rId116" Type="http://schemas.openxmlformats.org/officeDocument/2006/relationships/hyperlink" Target="https://www.youtube.com/watch?v=rbPA4IRapII" TargetMode="External"/><Relationship Id="rId237" Type="http://schemas.openxmlformats.org/officeDocument/2006/relationships/hyperlink" Target="https://www.youtube.com/watch?v=8HNkh1_ur08" TargetMode="External"/><Relationship Id="rId115" Type="http://schemas.openxmlformats.org/officeDocument/2006/relationships/hyperlink" Target="https://www.youtube.com/watch?v=h_TQ1jvN12s" TargetMode="External"/><Relationship Id="rId236" Type="http://schemas.openxmlformats.org/officeDocument/2006/relationships/hyperlink" Target="https://www.youtube.com/watch?v=WTVLLcJ_EmY" TargetMode="External"/><Relationship Id="rId119" Type="http://schemas.openxmlformats.org/officeDocument/2006/relationships/hyperlink" Target="https://www.youtube.com/watch?v=U9puCgZI0jA" TargetMode="External"/><Relationship Id="rId110" Type="http://schemas.openxmlformats.org/officeDocument/2006/relationships/hyperlink" Target="https://youtube.com/live/DoOanHA3LSQ" TargetMode="External"/><Relationship Id="rId231" Type="http://schemas.openxmlformats.org/officeDocument/2006/relationships/hyperlink" Target="https://www.youtube.com/watch?v=_upwR4wVXrE" TargetMode="External"/><Relationship Id="rId230" Type="http://schemas.openxmlformats.org/officeDocument/2006/relationships/hyperlink" Target="https://www.youtube.com/watch?v=ubqOmwBq9D4" TargetMode="External"/><Relationship Id="rId114" Type="http://schemas.openxmlformats.org/officeDocument/2006/relationships/hyperlink" Target="https://www.youtube.com/watch?v=0ElbNyPBwtM" TargetMode="External"/><Relationship Id="rId235" Type="http://schemas.openxmlformats.org/officeDocument/2006/relationships/hyperlink" Target="https://www.youtube.com/watch?v=5d8QoNhWdcE" TargetMode="External"/><Relationship Id="rId113" Type="http://schemas.openxmlformats.org/officeDocument/2006/relationships/hyperlink" Target="https://www.youtube.com/watch?v=EUetwM-YPOc" TargetMode="External"/><Relationship Id="rId234" Type="http://schemas.openxmlformats.org/officeDocument/2006/relationships/hyperlink" Target="https://www.youtube.com/watch?v=kEV7rBs1oSw" TargetMode="External"/><Relationship Id="rId112" Type="http://schemas.openxmlformats.org/officeDocument/2006/relationships/hyperlink" Target="https://www.youtube.com/watch?v=_86rzleYb-o" TargetMode="External"/><Relationship Id="rId233" Type="http://schemas.openxmlformats.org/officeDocument/2006/relationships/hyperlink" Target="https://www.youtube.com/watch?v=YazKLBF-B6c" TargetMode="External"/><Relationship Id="rId111" Type="http://schemas.openxmlformats.org/officeDocument/2006/relationships/hyperlink" Target="https://www.youtube.com/watch?v=DoOanHA3LSQ" TargetMode="External"/><Relationship Id="rId232" Type="http://schemas.openxmlformats.org/officeDocument/2006/relationships/hyperlink" Target="https://www.youtube.com/watch?v=1xk5ezPw1Eg" TargetMode="External"/><Relationship Id="rId305" Type="http://schemas.openxmlformats.org/officeDocument/2006/relationships/hyperlink" Target="https://youtu.be/51mPcuSbORo" TargetMode="External"/><Relationship Id="rId304" Type="http://schemas.openxmlformats.org/officeDocument/2006/relationships/hyperlink" Target="https://youtu.be/51mPcuSbORo" TargetMode="External"/><Relationship Id="rId303" Type="http://schemas.openxmlformats.org/officeDocument/2006/relationships/hyperlink" Target="https://youtube.com/live/2GygAzTyURo?feature=share" TargetMode="External"/><Relationship Id="rId302" Type="http://schemas.openxmlformats.org/officeDocument/2006/relationships/hyperlink" Target="https://youtube.com/live/9tIXUP42nFM?feature=share" TargetMode="External"/><Relationship Id="rId309" Type="http://schemas.openxmlformats.org/officeDocument/2006/relationships/hyperlink" Target="https://youtu.be/iOU2_tMDXUE" TargetMode="External"/><Relationship Id="rId308" Type="http://schemas.openxmlformats.org/officeDocument/2006/relationships/hyperlink" Target="https://youtu.be/iOU2_tMDXUE" TargetMode="External"/><Relationship Id="rId307" Type="http://schemas.openxmlformats.org/officeDocument/2006/relationships/hyperlink" Target="https://youtu.be/yFLLFQnJfGs" TargetMode="External"/><Relationship Id="rId306" Type="http://schemas.openxmlformats.org/officeDocument/2006/relationships/hyperlink" Target="https://youtu.be/yFLLFQnJfGs" TargetMode="External"/><Relationship Id="rId301" Type="http://schemas.openxmlformats.org/officeDocument/2006/relationships/hyperlink" Target="https://youtu.be/L-IWP6bCqMs" TargetMode="External"/><Relationship Id="rId300" Type="http://schemas.openxmlformats.org/officeDocument/2006/relationships/hyperlink" Target="https://youtu.be/L-IWP6bCqMs" TargetMode="External"/><Relationship Id="rId206" Type="http://schemas.openxmlformats.org/officeDocument/2006/relationships/hyperlink" Target="https://www.youtube.com/watch?v=OVcI4-VLfFs" TargetMode="External"/><Relationship Id="rId205" Type="http://schemas.openxmlformats.org/officeDocument/2006/relationships/hyperlink" Target="https://www.youtube.com/watch?v=r8Tpp4XEuuc" TargetMode="External"/><Relationship Id="rId204" Type="http://schemas.openxmlformats.org/officeDocument/2006/relationships/hyperlink" Target="https://www.youtube.com/watch?v=dbwp_nmBYWk" TargetMode="External"/><Relationship Id="rId203" Type="http://schemas.openxmlformats.org/officeDocument/2006/relationships/hyperlink" Target="https://www.youtube.com/watch?v=IbGloENJvgw" TargetMode="External"/><Relationship Id="rId209" Type="http://schemas.openxmlformats.org/officeDocument/2006/relationships/hyperlink" Target="https://www.youtube.com/watch?v=4Kpqdz8Nrnk" TargetMode="External"/><Relationship Id="rId208" Type="http://schemas.openxmlformats.org/officeDocument/2006/relationships/hyperlink" Target="https://youtube.com/live/4Kpqdz8Nrnk?" TargetMode="External"/><Relationship Id="rId207" Type="http://schemas.openxmlformats.org/officeDocument/2006/relationships/hyperlink" Target="https://www.youtube.com/watch?v=RLMviTPK33o" TargetMode="External"/><Relationship Id="rId202" Type="http://schemas.openxmlformats.org/officeDocument/2006/relationships/hyperlink" Target="https://www.youtube.com/watch?v=h9iOVLt3jLI" TargetMode="External"/><Relationship Id="rId201" Type="http://schemas.openxmlformats.org/officeDocument/2006/relationships/hyperlink" Target="https://www.youtube.com/watch?v=4OhWNU40hqE" TargetMode="External"/><Relationship Id="rId200" Type="http://schemas.openxmlformats.org/officeDocument/2006/relationships/hyperlink" Target="https://www.youtube.com/watch?v=sAjv8SsYdYQ" TargetMode="External"/><Relationship Id="rId316" Type="http://schemas.openxmlformats.org/officeDocument/2006/relationships/drawing" Target="../drawings/drawing1.xml"/><Relationship Id="rId315" Type="http://schemas.openxmlformats.org/officeDocument/2006/relationships/hyperlink" Target="https://youtu.be/KCQx1rBymOc" TargetMode="External"/><Relationship Id="rId314" Type="http://schemas.openxmlformats.org/officeDocument/2006/relationships/hyperlink" Target="https://youtu.be/KCQx1rBymOc" TargetMode="External"/><Relationship Id="rId313" Type="http://schemas.openxmlformats.org/officeDocument/2006/relationships/hyperlink" Target="https://youtu.be/GEDKN56DSa4" TargetMode="External"/><Relationship Id="rId312" Type="http://schemas.openxmlformats.org/officeDocument/2006/relationships/hyperlink" Target="https://youtu.be/GEDKN56DSa4" TargetMode="External"/><Relationship Id="rId311" Type="http://schemas.openxmlformats.org/officeDocument/2006/relationships/hyperlink" Target="https://youtu.be/frZrzQYULZI" TargetMode="External"/><Relationship Id="rId310" Type="http://schemas.openxmlformats.org/officeDocument/2006/relationships/hyperlink" Target="https://youtu.be/frZrzQYULZI"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z3OXjK4mn3M" TargetMode="External"/><Relationship Id="rId190" Type="http://schemas.openxmlformats.org/officeDocument/2006/relationships/hyperlink" Target="https://www.youtube.com/watch?v=EMoNdLRn4Ns" TargetMode="External"/><Relationship Id="rId42" Type="http://schemas.openxmlformats.org/officeDocument/2006/relationships/hyperlink" Target="https://www.youtube.com/watch?v=1ngKQh_nKpA" TargetMode="External"/><Relationship Id="rId41" Type="http://schemas.openxmlformats.org/officeDocument/2006/relationships/hyperlink" Target="https://www.youtube.com/watch?v=k7pYtlmoTgY" TargetMode="External"/><Relationship Id="rId44" Type="http://schemas.openxmlformats.org/officeDocument/2006/relationships/hyperlink" Target="https://www.youtube.com/watch?v=WT87cCEYFRM" TargetMode="External"/><Relationship Id="rId194" Type="http://schemas.openxmlformats.org/officeDocument/2006/relationships/hyperlink" Target="https://www.youtube.com/watch?v=0Yni3p0o1_8" TargetMode="External"/><Relationship Id="rId43" Type="http://schemas.openxmlformats.org/officeDocument/2006/relationships/hyperlink" Target="https://www.youtube.com/live/WT87cCEYFRM?" TargetMode="External"/><Relationship Id="rId193" Type="http://schemas.openxmlformats.org/officeDocument/2006/relationships/hyperlink" Target="https://www.youtube.com/watch?v=r4dLVZh7oi8" TargetMode="External"/><Relationship Id="rId46" Type="http://schemas.openxmlformats.org/officeDocument/2006/relationships/hyperlink" Target="https://www.youtube.com/watch?v=kyaj0F42pTU" TargetMode="External"/><Relationship Id="rId192" Type="http://schemas.openxmlformats.org/officeDocument/2006/relationships/hyperlink" Target="https://www.youtube.com/watch?v=u3T1y77D1mE" TargetMode="External"/><Relationship Id="rId45" Type="http://schemas.openxmlformats.org/officeDocument/2006/relationships/hyperlink" Target="https://www.youtube.com/watch?v=1WFr2u8rKSU" TargetMode="External"/><Relationship Id="rId191" Type="http://schemas.openxmlformats.org/officeDocument/2006/relationships/hyperlink" Target="https://www.youtube.com/watch?v=NnSKpz6Itq0" TargetMode="External"/><Relationship Id="rId48" Type="http://schemas.openxmlformats.org/officeDocument/2006/relationships/hyperlink" Target="https://www.youtube.com/watch?v=jLeuaX-G3Hs" TargetMode="External"/><Relationship Id="rId187" Type="http://schemas.openxmlformats.org/officeDocument/2006/relationships/hyperlink" Target="https://www.youtube.com/watch?v=2cN7a5yrktM" TargetMode="External"/><Relationship Id="rId47" Type="http://schemas.openxmlformats.org/officeDocument/2006/relationships/hyperlink" Target="https://www.youtube.com/watch?v=qdC2jgv49og" TargetMode="External"/><Relationship Id="rId186" Type="http://schemas.openxmlformats.org/officeDocument/2006/relationships/hyperlink" Target="https://www.youtube.com/watch?v=z9TnWuNNVjY" TargetMode="External"/><Relationship Id="rId185" Type="http://schemas.openxmlformats.org/officeDocument/2006/relationships/hyperlink" Target="https://www.youtube.com/watch?v=izrq5fGiM28" TargetMode="External"/><Relationship Id="rId49" Type="http://schemas.openxmlformats.org/officeDocument/2006/relationships/hyperlink" Target="https://www.youtube.com/watch?v=LD6oSbGfkFU" TargetMode="External"/><Relationship Id="rId184" Type="http://schemas.openxmlformats.org/officeDocument/2006/relationships/hyperlink" Target="https://www.youtube.com/watch?v=hmEevJCvEyQ" TargetMode="External"/><Relationship Id="rId189" Type="http://schemas.openxmlformats.org/officeDocument/2006/relationships/hyperlink" Target="https://www.youtube.com/watch?v=1b4z9bkAack" TargetMode="External"/><Relationship Id="rId188" Type="http://schemas.openxmlformats.org/officeDocument/2006/relationships/hyperlink" Target="https://www.youtube.com/watch?v=pr5NN0hn5ww" TargetMode="External"/><Relationship Id="rId31" Type="http://schemas.openxmlformats.org/officeDocument/2006/relationships/hyperlink" Target="https://www.youtube.com/watch?v=rmg-UHlIzoA" TargetMode="External"/><Relationship Id="rId30" Type="http://schemas.openxmlformats.org/officeDocument/2006/relationships/hyperlink" Target="https://www.youtube.com/watch?v=mNqKgdl6Tzs" TargetMode="External"/><Relationship Id="rId33" Type="http://schemas.openxmlformats.org/officeDocument/2006/relationships/hyperlink" Target="https://www.youtube.com/watch?v=aHoENZaJGAw" TargetMode="External"/><Relationship Id="rId183" Type="http://schemas.openxmlformats.org/officeDocument/2006/relationships/hyperlink" Target="https://www.youtube.com/watch?v=Cv_RlmqXSZk" TargetMode="External"/><Relationship Id="rId32" Type="http://schemas.openxmlformats.org/officeDocument/2006/relationships/hyperlink" Target="https://www.youtube.com/watch?v=9NsuHQy0QC8" TargetMode="External"/><Relationship Id="rId182" Type="http://schemas.openxmlformats.org/officeDocument/2006/relationships/hyperlink" Target="https://www.youtube.com/watch?v=3oXKrXXkfaA" TargetMode="External"/><Relationship Id="rId35" Type="http://schemas.openxmlformats.org/officeDocument/2006/relationships/hyperlink" Target="https://www.youtube.com/watch?v=ozB-gIAstz8" TargetMode="External"/><Relationship Id="rId181" Type="http://schemas.openxmlformats.org/officeDocument/2006/relationships/hyperlink" Target="https://www.youtube.com/watch?v=-nNdpfMN2Vg" TargetMode="External"/><Relationship Id="rId34" Type="http://schemas.openxmlformats.org/officeDocument/2006/relationships/hyperlink" Target="https://www.youtube.com/watch?v=Ti4OsD_8CUA" TargetMode="External"/><Relationship Id="rId180" Type="http://schemas.openxmlformats.org/officeDocument/2006/relationships/hyperlink" Target="https://youtube.com/live/-nNdpfMN2Vg?" TargetMode="External"/><Relationship Id="rId37" Type="http://schemas.openxmlformats.org/officeDocument/2006/relationships/hyperlink" Target="https://www.youtube.com/watch?v=b7dUQkR3am0" TargetMode="External"/><Relationship Id="rId176" Type="http://schemas.openxmlformats.org/officeDocument/2006/relationships/hyperlink" Target="https://www.youtube.com/watch?v=2CmWw6IXfPc" TargetMode="External"/><Relationship Id="rId297" Type="http://schemas.openxmlformats.org/officeDocument/2006/relationships/hyperlink" Target="https://youtu.be/mIB0Lu48CP0" TargetMode="External"/><Relationship Id="rId36" Type="http://schemas.openxmlformats.org/officeDocument/2006/relationships/hyperlink" Target="https://www.youtube.com/watch?v=fyNAO5zb9sU" TargetMode="External"/><Relationship Id="rId175" Type="http://schemas.openxmlformats.org/officeDocument/2006/relationships/hyperlink" Target="https://www.youtube.com/watch?v=1hCY_IUCXzc" TargetMode="External"/><Relationship Id="rId296" Type="http://schemas.openxmlformats.org/officeDocument/2006/relationships/hyperlink" Target="https://youtu.be/mIB0Lu48CP0" TargetMode="External"/><Relationship Id="rId39" Type="http://schemas.openxmlformats.org/officeDocument/2006/relationships/hyperlink" Target="https://www.youtube.com/watch?v=OVUzg3BcNxs" TargetMode="External"/><Relationship Id="rId174" Type="http://schemas.openxmlformats.org/officeDocument/2006/relationships/hyperlink" Target="https://www.youtube.com/watch?v=oBuVgNIC1Gk" TargetMode="External"/><Relationship Id="rId295" Type="http://schemas.openxmlformats.org/officeDocument/2006/relationships/hyperlink" Target="https://youtu.be/4nCwl2XAybI" TargetMode="External"/><Relationship Id="rId38" Type="http://schemas.openxmlformats.org/officeDocument/2006/relationships/hyperlink" Target="https://www.youtube.com/watch?v=nGgUIA2w3YI" TargetMode="External"/><Relationship Id="rId173" Type="http://schemas.openxmlformats.org/officeDocument/2006/relationships/hyperlink" Target="https://www.youtube.com/watch?v=sGOn3YPoMJw" TargetMode="External"/><Relationship Id="rId294" Type="http://schemas.openxmlformats.org/officeDocument/2006/relationships/hyperlink" Target="https://youtu.be/i77VbfbEhE0" TargetMode="External"/><Relationship Id="rId179" Type="http://schemas.openxmlformats.org/officeDocument/2006/relationships/hyperlink" Target="https://www.youtube.com/watch?v=e7kJA_0GDJ4" TargetMode="External"/><Relationship Id="rId178" Type="http://schemas.openxmlformats.org/officeDocument/2006/relationships/hyperlink" Target="https://youtube.com/live/e7kJA_0GDJ4?" TargetMode="External"/><Relationship Id="rId299" Type="http://schemas.openxmlformats.org/officeDocument/2006/relationships/hyperlink" Target="https://youtu.be/l6_i5JZa0ZU" TargetMode="External"/><Relationship Id="rId177" Type="http://schemas.openxmlformats.org/officeDocument/2006/relationships/hyperlink" Target="https://www.youtube.com/watch?v=dTsO9XHFhuY" TargetMode="External"/><Relationship Id="rId298" Type="http://schemas.openxmlformats.org/officeDocument/2006/relationships/hyperlink" Target="https://youtu.be/l6_i5JZa0ZU" TargetMode="External"/><Relationship Id="rId20" Type="http://schemas.openxmlformats.org/officeDocument/2006/relationships/hyperlink" Target="https://www.youtube.com/watch?v=uel312Qq5hM" TargetMode="External"/><Relationship Id="rId22" Type="http://schemas.openxmlformats.org/officeDocument/2006/relationships/hyperlink" Target="https://www.youtube.com/live/_MiGhWoqWqY?" TargetMode="External"/><Relationship Id="rId21" Type="http://schemas.openxmlformats.org/officeDocument/2006/relationships/hyperlink" Target="https://www.youtube.com/watch?v=UXUGUUqg5P4" TargetMode="External"/><Relationship Id="rId24" Type="http://schemas.openxmlformats.org/officeDocument/2006/relationships/hyperlink" Target="https://www.youtube.com/watch?v=jl44NKscLu8" TargetMode="External"/><Relationship Id="rId23" Type="http://schemas.openxmlformats.org/officeDocument/2006/relationships/hyperlink" Target="https://www.youtube.com/watch?v=_MiGhWoqWqY" TargetMode="External"/><Relationship Id="rId26" Type="http://schemas.openxmlformats.org/officeDocument/2006/relationships/hyperlink" Target="https://www.youtube.com/watch?v=07FOszC5N2U" TargetMode="External"/><Relationship Id="rId25" Type="http://schemas.openxmlformats.org/officeDocument/2006/relationships/hyperlink" Target="https://www.youtube.com/watch?v=jghOVERkJKw" TargetMode="External"/><Relationship Id="rId28" Type="http://schemas.openxmlformats.org/officeDocument/2006/relationships/hyperlink" Target="https://www.youtube.com/watch?v=6Ms87Rq4c30" TargetMode="External"/><Relationship Id="rId27" Type="http://schemas.openxmlformats.org/officeDocument/2006/relationships/hyperlink" Target="https://www.youtube.com/live/6Ms87Rq4c30?" TargetMode="External"/><Relationship Id="rId29" Type="http://schemas.openxmlformats.org/officeDocument/2006/relationships/hyperlink" Target="https://www.youtube.com/watch?v=tE9ceLJvHwU" TargetMode="External"/><Relationship Id="rId11" Type="http://schemas.openxmlformats.org/officeDocument/2006/relationships/hyperlink" Target="https://www.youtube.com/watch?v=UlFAlcui1Iw" TargetMode="External"/><Relationship Id="rId10" Type="http://schemas.openxmlformats.org/officeDocument/2006/relationships/hyperlink" Target="https://www.youtube.com/watch?v=-XxNjC5YTWU" TargetMode="External"/><Relationship Id="rId13" Type="http://schemas.openxmlformats.org/officeDocument/2006/relationships/hyperlink" Target="https://www.youtube.com/watch?v=d7f0Jg7Y5YY" TargetMode="External"/><Relationship Id="rId12" Type="http://schemas.openxmlformats.org/officeDocument/2006/relationships/hyperlink" Target="https://www.youtube.com/watch?v=424PbUvthZ0" TargetMode="External"/><Relationship Id="rId15" Type="http://schemas.openxmlformats.org/officeDocument/2006/relationships/hyperlink" Target="https://www.youtube.com/watch?v=jpXPolJzulY" TargetMode="External"/><Relationship Id="rId198" Type="http://schemas.openxmlformats.org/officeDocument/2006/relationships/hyperlink" Target="https://www.youtube.com/watch?v=DqKQ0hY2wmA" TargetMode="External"/><Relationship Id="rId14" Type="http://schemas.openxmlformats.org/officeDocument/2006/relationships/hyperlink" Target="https://www.youtube.com/watch?v=z0JpdWvpsM8" TargetMode="External"/><Relationship Id="rId197" Type="http://schemas.openxmlformats.org/officeDocument/2006/relationships/hyperlink" Target="https://www.youtube.com/watch?v=EU6VnAfIiJw" TargetMode="External"/><Relationship Id="rId17" Type="http://schemas.openxmlformats.org/officeDocument/2006/relationships/hyperlink" Target="https://www.youtube.com/watch?v=ezlES8BVzMo" TargetMode="External"/><Relationship Id="rId196" Type="http://schemas.openxmlformats.org/officeDocument/2006/relationships/hyperlink" Target="https://www.youtube.com/watch?v=L60EirO0BZo" TargetMode="External"/><Relationship Id="rId16" Type="http://schemas.openxmlformats.org/officeDocument/2006/relationships/hyperlink" Target="https://www.youtube.com/watch?v=wAlBvkZn5Jg" TargetMode="External"/><Relationship Id="rId195" Type="http://schemas.openxmlformats.org/officeDocument/2006/relationships/hyperlink" Target="https://www.youtube.com/watch?v=_9ZYtXAN_Fo" TargetMode="External"/><Relationship Id="rId19" Type="http://schemas.openxmlformats.org/officeDocument/2006/relationships/hyperlink" Target="https://www.youtube.com/watch?v=uGZhhP7DREQ" TargetMode="External"/><Relationship Id="rId18" Type="http://schemas.openxmlformats.org/officeDocument/2006/relationships/hyperlink" Target="https://www.youtube.com/watch?v=InTwibl_aG8" TargetMode="External"/><Relationship Id="rId199" Type="http://schemas.openxmlformats.org/officeDocument/2006/relationships/hyperlink" Target="https://www.youtube.com/watch?v=kafa4hfjkaY" TargetMode="External"/><Relationship Id="rId84" Type="http://schemas.openxmlformats.org/officeDocument/2006/relationships/hyperlink" Target="https://youtube.com/live/iNsT-mga0Jk?" TargetMode="External"/><Relationship Id="rId83" Type="http://schemas.openxmlformats.org/officeDocument/2006/relationships/hyperlink" Target="https://www.youtube.com/watch?v=cjKaqGPSzyQ" TargetMode="External"/><Relationship Id="rId86" Type="http://schemas.openxmlformats.org/officeDocument/2006/relationships/hyperlink" Target="https://www.youtube.com/watch?v=ASZqEEqOoFs" TargetMode="External"/><Relationship Id="rId85" Type="http://schemas.openxmlformats.org/officeDocument/2006/relationships/hyperlink" Target="https://www.youtube.com/watch?v=iNsT-mga0Jk" TargetMode="External"/><Relationship Id="rId88" Type="http://schemas.openxmlformats.org/officeDocument/2006/relationships/hyperlink" Target="https://www.youtube.com/watch?v=22xY82kg2rA" TargetMode="External"/><Relationship Id="rId150" Type="http://schemas.openxmlformats.org/officeDocument/2006/relationships/hyperlink" Target="https://www.youtube.com/watch?v=LFiqv1kn2rA" TargetMode="External"/><Relationship Id="rId271" Type="http://schemas.openxmlformats.org/officeDocument/2006/relationships/hyperlink" Target="https://www.youtube.com/watch?v=pbTeN_qCaEk" TargetMode="External"/><Relationship Id="rId87" Type="http://schemas.openxmlformats.org/officeDocument/2006/relationships/hyperlink" Target="https://www.youtube.com/watch?v=0XyYPcF1u6s" TargetMode="External"/><Relationship Id="rId270" Type="http://schemas.openxmlformats.org/officeDocument/2006/relationships/hyperlink" Target="https://youtube.com/live/pbTeN_qCaEk?" TargetMode="External"/><Relationship Id="rId89" Type="http://schemas.openxmlformats.org/officeDocument/2006/relationships/hyperlink" Target="https://www.youtube.com/watch?v=ySMqrteo540" TargetMode="External"/><Relationship Id="rId80" Type="http://schemas.openxmlformats.org/officeDocument/2006/relationships/hyperlink" Target="https://www.youtube.com/watch?v=ismQD4kej3E" TargetMode="External"/><Relationship Id="rId82" Type="http://schemas.openxmlformats.org/officeDocument/2006/relationships/hyperlink" Target="https://www.youtube.com/watch?v=FLzgNFkWFE4" TargetMode="External"/><Relationship Id="rId81" Type="http://schemas.openxmlformats.org/officeDocument/2006/relationships/hyperlink" Target="https://www.youtube.com/watch?v=k5joz3niO10" TargetMode="External"/><Relationship Id="rId1" Type="http://schemas.openxmlformats.org/officeDocument/2006/relationships/hyperlink" Target="https://www.youtube.com/watch?v=dJWHecyW_-I" TargetMode="External"/><Relationship Id="rId2" Type="http://schemas.openxmlformats.org/officeDocument/2006/relationships/hyperlink" Target="https://www.youtube.com/watch?v=OXb7rpvAm4I" TargetMode="External"/><Relationship Id="rId3" Type="http://schemas.openxmlformats.org/officeDocument/2006/relationships/hyperlink" Target="https://www.youtube.com/watch?v=1lI7DvubMUM" TargetMode="External"/><Relationship Id="rId149" Type="http://schemas.openxmlformats.org/officeDocument/2006/relationships/hyperlink" Target="https://www.youtube.com/watch?v=SlSMOt9WP5s" TargetMode="External"/><Relationship Id="rId4" Type="http://schemas.openxmlformats.org/officeDocument/2006/relationships/hyperlink" Target="https://www.youtube.com/watch?v=AGtFQ3G1FCU" TargetMode="External"/><Relationship Id="rId148" Type="http://schemas.openxmlformats.org/officeDocument/2006/relationships/hyperlink" Target="https://www.youtube.com/watch?v=l1PKRWjuX98" TargetMode="External"/><Relationship Id="rId269" Type="http://schemas.openxmlformats.org/officeDocument/2006/relationships/hyperlink" Target="https://www.youtube.com/watch?v=NXQFBkkXRDc" TargetMode="External"/><Relationship Id="rId9" Type="http://schemas.openxmlformats.org/officeDocument/2006/relationships/hyperlink" Target="https://www.youtube.com/watch?v=Kwp1T7tc7n0" TargetMode="External"/><Relationship Id="rId143" Type="http://schemas.openxmlformats.org/officeDocument/2006/relationships/hyperlink" Target="https://youtube.com/live/cvNbOE_UfuU?" TargetMode="External"/><Relationship Id="rId264" Type="http://schemas.openxmlformats.org/officeDocument/2006/relationships/hyperlink" Target="https://youtube.com/live/U_3HI15SU6o?feature=share" TargetMode="External"/><Relationship Id="rId142" Type="http://schemas.openxmlformats.org/officeDocument/2006/relationships/hyperlink" Target="https://www.youtube.com/watch?v=pRsYzX1HU68" TargetMode="External"/><Relationship Id="rId263" Type="http://schemas.openxmlformats.org/officeDocument/2006/relationships/hyperlink" Target="https://www.youtube.com/watch?v=aAGSbABpRLc" TargetMode="External"/><Relationship Id="rId141" Type="http://schemas.openxmlformats.org/officeDocument/2006/relationships/hyperlink" Target="https://youtube.com/live/pRsYzX1HU68?" TargetMode="External"/><Relationship Id="rId262" Type="http://schemas.openxmlformats.org/officeDocument/2006/relationships/hyperlink" Target="https://youtube.com/live/aAGSbABpRLc?feature=share" TargetMode="External"/><Relationship Id="rId140" Type="http://schemas.openxmlformats.org/officeDocument/2006/relationships/hyperlink" Target="https://www.youtube.com/watch?v=ypqvFWMQgHU" TargetMode="External"/><Relationship Id="rId261" Type="http://schemas.openxmlformats.org/officeDocument/2006/relationships/hyperlink" Target="https://www.youtube.com/watch?v=5KgvIuqlddE" TargetMode="External"/><Relationship Id="rId5" Type="http://schemas.openxmlformats.org/officeDocument/2006/relationships/hyperlink" Target="https://www.youtube.com/watch?v=ezIG1eilHYg" TargetMode="External"/><Relationship Id="rId147" Type="http://schemas.openxmlformats.org/officeDocument/2006/relationships/hyperlink" Target="https://youtube.com/live/l1PKRWjuX98" TargetMode="External"/><Relationship Id="rId268" Type="http://schemas.openxmlformats.org/officeDocument/2006/relationships/hyperlink" Target="https://www.youtube.com/watch?v=OqFlA1Nr1T8" TargetMode="External"/><Relationship Id="rId6" Type="http://schemas.openxmlformats.org/officeDocument/2006/relationships/hyperlink" Target="https://www.youtube.com/watch?v=WzfXRcMAedg" TargetMode="External"/><Relationship Id="rId146" Type="http://schemas.openxmlformats.org/officeDocument/2006/relationships/hyperlink" Target="https://www.youtube.com/watch?v=m7zFyn-BtKs" TargetMode="External"/><Relationship Id="rId267" Type="http://schemas.openxmlformats.org/officeDocument/2006/relationships/hyperlink" Target="https://www.youtube.com/watch?v=guDoLshQGlo" TargetMode="External"/><Relationship Id="rId7" Type="http://schemas.openxmlformats.org/officeDocument/2006/relationships/hyperlink" Target="https://www.youtube.com/watch?v=l3d1FJjsBnI" TargetMode="External"/><Relationship Id="rId145" Type="http://schemas.openxmlformats.org/officeDocument/2006/relationships/hyperlink" Target="https://youtube.com/live/m7zFyn-BtKs?" TargetMode="External"/><Relationship Id="rId266" Type="http://schemas.openxmlformats.org/officeDocument/2006/relationships/hyperlink" Target="https://youtube.com/live/guDoLshQGlo?feature=share" TargetMode="External"/><Relationship Id="rId8" Type="http://schemas.openxmlformats.org/officeDocument/2006/relationships/hyperlink" Target="https://www.youtube.com/watch?v=iGRxLKNnaT8" TargetMode="External"/><Relationship Id="rId144" Type="http://schemas.openxmlformats.org/officeDocument/2006/relationships/hyperlink" Target="https://www.youtube.com/watch?v=cvNbOE_UfuU" TargetMode="External"/><Relationship Id="rId265" Type="http://schemas.openxmlformats.org/officeDocument/2006/relationships/hyperlink" Target="https://www.youtube.com/watch?v=U_3HI15SU6o" TargetMode="External"/><Relationship Id="rId73" Type="http://schemas.openxmlformats.org/officeDocument/2006/relationships/hyperlink" Target="https://www.youtube.com/watch?v=JuTDWiaNQ_Q" TargetMode="External"/><Relationship Id="rId72" Type="http://schemas.openxmlformats.org/officeDocument/2006/relationships/hyperlink" Target="https://www.youtube.com/watch?v=IL_gbYIdcoo" TargetMode="External"/><Relationship Id="rId75" Type="http://schemas.openxmlformats.org/officeDocument/2006/relationships/hyperlink" Target="https://youtube.com/live/tQ53yAu_Zf4?" TargetMode="External"/><Relationship Id="rId74" Type="http://schemas.openxmlformats.org/officeDocument/2006/relationships/hyperlink" Target="https://www.youtube.com/watch?v=KCi0XIqlWfw" TargetMode="External"/><Relationship Id="rId77" Type="http://schemas.openxmlformats.org/officeDocument/2006/relationships/hyperlink" Target="https://www.youtube.com/watch?v=LN9iVEIEs9U" TargetMode="External"/><Relationship Id="rId260" Type="http://schemas.openxmlformats.org/officeDocument/2006/relationships/hyperlink" Target="https://www.youtube.com/watch?v=5u2ptqn39sY" TargetMode="External"/><Relationship Id="rId76" Type="http://schemas.openxmlformats.org/officeDocument/2006/relationships/hyperlink" Target="https://www.youtube.com/watch?v=tQ53yAu_Zf4" TargetMode="External"/><Relationship Id="rId79" Type="http://schemas.openxmlformats.org/officeDocument/2006/relationships/hyperlink" Target="https://www.youtube.com/watch?v=iOqVUVy_u94" TargetMode="External"/><Relationship Id="rId78" Type="http://schemas.openxmlformats.org/officeDocument/2006/relationships/hyperlink" Target="https://www.youtube.com/watch?v=3HL99bvtxyI" TargetMode="External"/><Relationship Id="rId71" Type="http://schemas.openxmlformats.org/officeDocument/2006/relationships/hyperlink" Target="https://www.youtube.com/watch?v=mb0L2PI7s_c" TargetMode="External"/><Relationship Id="rId70" Type="http://schemas.openxmlformats.org/officeDocument/2006/relationships/hyperlink" Target="https://www.youtube.com/watch?v=E9Xsqn780Xg" TargetMode="External"/><Relationship Id="rId139" Type="http://schemas.openxmlformats.org/officeDocument/2006/relationships/hyperlink" Target="https://www.youtube.com/watch?v=vthtLc8S5Lk" TargetMode="External"/><Relationship Id="rId138" Type="http://schemas.openxmlformats.org/officeDocument/2006/relationships/hyperlink" Target="https://www.youtube.com/watch?v=5TkpFvGchEM" TargetMode="External"/><Relationship Id="rId259" Type="http://schemas.openxmlformats.org/officeDocument/2006/relationships/hyperlink" Target="https://www.youtube.com/watch?v=y7e4TYMfT-M" TargetMode="External"/><Relationship Id="rId137" Type="http://schemas.openxmlformats.org/officeDocument/2006/relationships/hyperlink" Target="https://www.youtube.com/watch?v=j-4sVmTg4Bg" TargetMode="External"/><Relationship Id="rId258" Type="http://schemas.openxmlformats.org/officeDocument/2006/relationships/hyperlink" Target="https://www.youtube.com/live/y7e4TYMfT-M?" TargetMode="External"/><Relationship Id="rId132" Type="http://schemas.openxmlformats.org/officeDocument/2006/relationships/hyperlink" Target="https://www.youtube.com/watch?v=QO3y3kPZzgs" TargetMode="External"/><Relationship Id="rId253" Type="http://schemas.openxmlformats.org/officeDocument/2006/relationships/hyperlink" Target="https://www.youtube.com/watch?v=U9X3-rnPBYk" TargetMode="External"/><Relationship Id="rId131" Type="http://schemas.openxmlformats.org/officeDocument/2006/relationships/hyperlink" Target="https://www.youtube.com/watch?v=GL8EbzyF4ck" TargetMode="External"/><Relationship Id="rId252" Type="http://schemas.openxmlformats.org/officeDocument/2006/relationships/hyperlink" Target="https://youtube.com/live/U9X3-rnPBYk?feature=share%C2%BF" TargetMode="External"/><Relationship Id="rId130" Type="http://schemas.openxmlformats.org/officeDocument/2006/relationships/hyperlink" Target="https://www.youtube.com/watch?v=5QfpFKXkod8" TargetMode="External"/><Relationship Id="rId251" Type="http://schemas.openxmlformats.org/officeDocument/2006/relationships/hyperlink" Target="https://www.youtube.com/watch?v=N4eLEss4Aao" TargetMode="External"/><Relationship Id="rId250" Type="http://schemas.openxmlformats.org/officeDocument/2006/relationships/hyperlink" Target="https://www.youtube.com/watch?v=gG5HUxZTPEw" TargetMode="External"/><Relationship Id="rId136" Type="http://schemas.openxmlformats.org/officeDocument/2006/relationships/hyperlink" Target="https://www.youtube.com/watch?v=q3mJ97iNiU0" TargetMode="External"/><Relationship Id="rId257" Type="http://schemas.openxmlformats.org/officeDocument/2006/relationships/hyperlink" Target="https://www.youtube.com/watch?v=EWefzYJlUT8" TargetMode="External"/><Relationship Id="rId135" Type="http://schemas.openxmlformats.org/officeDocument/2006/relationships/hyperlink" Target="https://www.youtube.com/watch?v=eTGJR9dFGYs" TargetMode="External"/><Relationship Id="rId256" Type="http://schemas.openxmlformats.org/officeDocument/2006/relationships/hyperlink" Target="https://www.youtube.com/watch?v=0nBP_kt7ldA" TargetMode="External"/><Relationship Id="rId134" Type="http://schemas.openxmlformats.org/officeDocument/2006/relationships/hyperlink" Target="https://www.youtube.com/watch?v=O51p2hacKno" TargetMode="External"/><Relationship Id="rId255" Type="http://schemas.openxmlformats.org/officeDocument/2006/relationships/hyperlink" Target="https://www.youtube.com/watch?v=Dp7hqGNLcsk" TargetMode="External"/><Relationship Id="rId133" Type="http://schemas.openxmlformats.org/officeDocument/2006/relationships/hyperlink" Target="https://www.youtube.com/watch?v=Sq9R4XgMZCU" TargetMode="External"/><Relationship Id="rId254" Type="http://schemas.openxmlformats.org/officeDocument/2006/relationships/hyperlink" Target="https://www.youtube.com/watch?v=xtwLSdjZPT8" TargetMode="External"/><Relationship Id="rId62" Type="http://schemas.openxmlformats.org/officeDocument/2006/relationships/hyperlink" Target="https://www.youtube.com/watch?v=p1a7r_YmrdA" TargetMode="External"/><Relationship Id="rId61" Type="http://schemas.openxmlformats.org/officeDocument/2006/relationships/hyperlink" Target="https://www.youtube.com/live/p1a7r_YmrdA?" TargetMode="External"/><Relationship Id="rId64" Type="http://schemas.openxmlformats.org/officeDocument/2006/relationships/hyperlink" Target="https://www.youtube.com/watch?v=HqDKhmbPYno" TargetMode="External"/><Relationship Id="rId63" Type="http://schemas.openxmlformats.org/officeDocument/2006/relationships/hyperlink" Target="https://www.youtube.com/watch?v=0FfbK6RZ22M" TargetMode="External"/><Relationship Id="rId66" Type="http://schemas.openxmlformats.org/officeDocument/2006/relationships/hyperlink" Target="https://www.youtube.com/watch?v=TO8myacc6OY" TargetMode="External"/><Relationship Id="rId172" Type="http://schemas.openxmlformats.org/officeDocument/2006/relationships/hyperlink" Target="https://www.youtube.com/watch?v=uWBJbS-Vz4M" TargetMode="External"/><Relationship Id="rId293" Type="http://schemas.openxmlformats.org/officeDocument/2006/relationships/hyperlink" Target="https://www.youtube.com/watch?v=C2J-2q2bwBs" TargetMode="External"/><Relationship Id="rId65" Type="http://schemas.openxmlformats.org/officeDocument/2006/relationships/hyperlink" Target="https://www.youtube.com/watch?v=NWAm7TKvVXg" TargetMode="External"/><Relationship Id="rId171" Type="http://schemas.openxmlformats.org/officeDocument/2006/relationships/hyperlink" Target="https://www.youtube.com/watch?v=9kCOepysZo0" TargetMode="External"/><Relationship Id="rId292" Type="http://schemas.openxmlformats.org/officeDocument/2006/relationships/hyperlink" Target="https://www.youtube.com/watch?v=JCuIfXtExFU" TargetMode="External"/><Relationship Id="rId68" Type="http://schemas.openxmlformats.org/officeDocument/2006/relationships/hyperlink" Target="https://www.youtube.com/watch?v=E6FpvYBkSKw" TargetMode="External"/><Relationship Id="rId170" Type="http://schemas.openxmlformats.org/officeDocument/2006/relationships/hyperlink" Target="https://www.youtube.com/watch?v=Tf_8cAbgV_Q" TargetMode="External"/><Relationship Id="rId291" Type="http://schemas.openxmlformats.org/officeDocument/2006/relationships/hyperlink" Target="https://youtube.com/live/JCuIfXtExFU?" TargetMode="External"/><Relationship Id="rId67" Type="http://schemas.openxmlformats.org/officeDocument/2006/relationships/hyperlink" Target="https://www.youtube.com/live/E6FpvYBkSKw?" TargetMode="External"/><Relationship Id="rId290" Type="http://schemas.openxmlformats.org/officeDocument/2006/relationships/hyperlink" Target="https://www.youtube.com/watch?v=E9Xsqn780Xg" TargetMode="External"/><Relationship Id="rId60" Type="http://schemas.openxmlformats.org/officeDocument/2006/relationships/hyperlink" Target="https://www.youtube.com/watch?v=vlHcoDpvB5c" TargetMode="External"/><Relationship Id="rId165" Type="http://schemas.openxmlformats.org/officeDocument/2006/relationships/hyperlink" Target="https://www.youtube.com/watch?v=Tf_8cAbgV_Q" TargetMode="External"/><Relationship Id="rId286" Type="http://schemas.openxmlformats.org/officeDocument/2006/relationships/hyperlink" Target="https://www.youtube.com/watch?v=yhylUPjcdkc" TargetMode="External"/><Relationship Id="rId69" Type="http://schemas.openxmlformats.org/officeDocument/2006/relationships/hyperlink" Target="https://www.youtube.com/watch?v=HlQkA5dlHf4" TargetMode="External"/><Relationship Id="rId164" Type="http://schemas.openxmlformats.org/officeDocument/2006/relationships/hyperlink" Target="https://youtube.com/live/Tf_8cAbgV_Q?" TargetMode="External"/><Relationship Id="rId285" Type="http://schemas.openxmlformats.org/officeDocument/2006/relationships/hyperlink" Target="https://www.youtube.com/watch?v=w3-iIVNbbBA" TargetMode="External"/><Relationship Id="rId163" Type="http://schemas.openxmlformats.org/officeDocument/2006/relationships/hyperlink" Target="https://www.youtube.com/watch?v=dhyD_UoqH1U" TargetMode="External"/><Relationship Id="rId284" Type="http://schemas.openxmlformats.org/officeDocument/2006/relationships/hyperlink" Target="https://www.youtube.com/watch?v=2cN7a5yrktM" TargetMode="External"/><Relationship Id="rId162" Type="http://schemas.openxmlformats.org/officeDocument/2006/relationships/hyperlink" Target="https://youtube.com/live/dhyD_UoqH1U" TargetMode="External"/><Relationship Id="rId283" Type="http://schemas.openxmlformats.org/officeDocument/2006/relationships/hyperlink" Target="https://www.youtube.com/watch?v=z9TnWuNNVjY" TargetMode="External"/><Relationship Id="rId169" Type="http://schemas.openxmlformats.org/officeDocument/2006/relationships/hyperlink" Target="https://youtube.com/live/Tf_8cAbgV_Q?" TargetMode="External"/><Relationship Id="rId168" Type="http://schemas.openxmlformats.org/officeDocument/2006/relationships/hyperlink" Target="https://www.youtube.com/watch?v=sGOn3YPoMJw" TargetMode="External"/><Relationship Id="rId289" Type="http://schemas.openxmlformats.org/officeDocument/2006/relationships/hyperlink" Target="https://www.youtube.com/watch?v=HlQkA5dlHf4" TargetMode="External"/><Relationship Id="rId167" Type="http://schemas.openxmlformats.org/officeDocument/2006/relationships/hyperlink" Target="https://www.youtube.com/watch?v=uWBJbS-Vz4M" TargetMode="External"/><Relationship Id="rId288" Type="http://schemas.openxmlformats.org/officeDocument/2006/relationships/hyperlink" Target="https://www.youtube.com/watch?v=E6FpvYBkSKw" TargetMode="External"/><Relationship Id="rId166" Type="http://schemas.openxmlformats.org/officeDocument/2006/relationships/hyperlink" Target="https://www.youtube.com/watch?v=9kCOepysZo0" TargetMode="External"/><Relationship Id="rId287" Type="http://schemas.openxmlformats.org/officeDocument/2006/relationships/hyperlink" Target="https://www.youtube.com/watch?v=TO8myacc6OY" TargetMode="External"/><Relationship Id="rId51" Type="http://schemas.openxmlformats.org/officeDocument/2006/relationships/hyperlink" Target="https://www.youtube.com/watch?v=aQYZnNVqr2c" TargetMode="External"/><Relationship Id="rId50" Type="http://schemas.openxmlformats.org/officeDocument/2006/relationships/hyperlink" Target="https://www.youtube.com/watch?v=F71dYyft28g" TargetMode="External"/><Relationship Id="rId53" Type="http://schemas.openxmlformats.org/officeDocument/2006/relationships/hyperlink" Target="https://www.youtube.com/watch?v=Y_O1pmn5AI0" TargetMode="External"/><Relationship Id="rId52" Type="http://schemas.openxmlformats.org/officeDocument/2006/relationships/hyperlink" Target="https://www.youtube.com/watch?v=cDn_mKRjs_w" TargetMode="External"/><Relationship Id="rId55" Type="http://schemas.openxmlformats.org/officeDocument/2006/relationships/hyperlink" Target="https://www.youtube.com/watch?v=mC3gBQbSi8E" TargetMode="External"/><Relationship Id="rId161" Type="http://schemas.openxmlformats.org/officeDocument/2006/relationships/hyperlink" Target="https://www.youtube.com/watch?v=Guf9n2TbwXI" TargetMode="External"/><Relationship Id="rId282" Type="http://schemas.openxmlformats.org/officeDocument/2006/relationships/hyperlink" Target="https://www.youtube.com/watch?v=izrq5fGiM28" TargetMode="External"/><Relationship Id="rId54" Type="http://schemas.openxmlformats.org/officeDocument/2006/relationships/hyperlink" Target="https://www.youtube.com/watch?v=aoz3cGZ19QA" TargetMode="External"/><Relationship Id="rId160" Type="http://schemas.openxmlformats.org/officeDocument/2006/relationships/hyperlink" Target="https://youtube.com/live/Guf9n2TbwXI" TargetMode="External"/><Relationship Id="rId281" Type="http://schemas.openxmlformats.org/officeDocument/2006/relationships/hyperlink" Target="https://www.youtube.com/watch?v=hmEevJCvEyQ" TargetMode="External"/><Relationship Id="rId57" Type="http://schemas.openxmlformats.org/officeDocument/2006/relationships/hyperlink" Target="https://www.youtube.com/watch?v=Axdv633ShjY" TargetMode="External"/><Relationship Id="rId280" Type="http://schemas.openxmlformats.org/officeDocument/2006/relationships/hyperlink" Target="https://www.youtube.com/watch?v=yhylUPjcdkc" TargetMode="External"/><Relationship Id="rId56" Type="http://schemas.openxmlformats.org/officeDocument/2006/relationships/hyperlink" Target="https://youtube.com/live/Axdv633ShjY?" TargetMode="External"/><Relationship Id="rId159" Type="http://schemas.openxmlformats.org/officeDocument/2006/relationships/hyperlink" Target="https://www.youtube.com/watch?v=wFfzwVJzat8" TargetMode="External"/><Relationship Id="rId59" Type="http://schemas.openxmlformats.org/officeDocument/2006/relationships/hyperlink" Target="https://www.youtube.com/watch?v=n5z9gs_SSEQ" TargetMode="External"/><Relationship Id="rId154" Type="http://schemas.openxmlformats.org/officeDocument/2006/relationships/hyperlink" Target="https://youtube.com/live/m7zFyn-BtKs?" TargetMode="External"/><Relationship Id="rId275" Type="http://schemas.openxmlformats.org/officeDocument/2006/relationships/hyperlink" Target="https://youtube.com/live/8q2uIts7_uY?" TargetMode="External"/><Relationship Id="rId58" Type="http://schemas.openxmlformats.org/officeDocument/2006/relationships/hyperlink" Target="https://www.youtube.com/watch?v=M8p1LNfXxbQ" TargetMode="External"/><Relationship Id="rId153" Type="http://schemas.openxmlformats.org/officeDocument/2006/relationships/hyperlink" Target="https://www.youtube.com/watch?v=E-csFjxgpCU" TargetMode="External"/><Relationship Id="rId274" Type="http://schemas.openxmlformats.org/officeDocument/2006/relationships/hyperlink" Target="https://www.youtube.com/watch?v=tHDeyxJWpDc" TargetMode="External"/><Relationship Id="rId152" Type="http://schemas.openxmlformats.org/officeDocument/2006/relationships/hyperlink" Target="https://www.youtube.com/watch?v=ColOytJoFSM" TargetMode="External"/><Relationship Id="rId273" Type="http://schemas.openxmlformats.org/officeDocument/2006/relationships/hyperlink" Target="https://www.youtube.com/watch?v=PN9JMPsGWJI" TargetMode="External"/><Relationship Id="rId151" Type="http://schemas.openxmlformats.org/officeDocument/2006/relationships/hyperlink" Target="https://www.youtube.com/watch?v=gUL83cHJnCM" TargetMode="External"/><Relationship Id="rId272" Type="http://schemas.openxmlformats.org/officeDocument/2006/relationships/hyperlink" Target="https://www.youtube.com/watch?v=QBwK1TDAy9E" TargetMode="External"/><Relationship Id="rId158" Type="http://schemas.openxmlformats.org/officeDocument/2006/relationships/hyperlink" Target="https://www.youtube.com/watch?v=qYuBFG0ohv4" TargetMode="External"/><Relationship Id="rId279" Type="http://schemas.openxmlformats.org/officeDocument/2006/relationships/hyperlink" Target="https://www.youtube.com/watch?v=w3-iIVNbbBA" TargetMode="External"/><Relationship Id="rId157" Type="http://schemas.openxmlformats.org/officeDocument/2006/relationships/hyperlink" Target="https://www.youtube.com/watch?v=UB05S62ivEA" TargetMode="External"/><Relationship Id="rId278" Type="http://schemas.openxmlformats.org/officeDocument/2006/relationships/hyperlink" Target="https://www.youtube.com/watch?v=S7w7aoauTX0" TargetMode="External"/><Relationship Id="rId156" Type="http://schemas.openxmlformats.org/officeDocument/2006/relationships/hyperlink" Target="https://www.youtube.com/watch?v=l1PKRWjuX98" TargetMode="External"/><Relationship Id="rId277" Type="http://schemas.openxmlformats.org/officeDocument/2006/relationships/hyperlink" Target="https://www.youtube.com/watch?v=NGa4N5su0Ok" TargetMode="External"/><Relationship Id="rId155" Type="http://schemas.openxmlformats.org/officeDocument/2006/relationships/hyperlink" Target="https://www.youtube.com/watch?v=m7zFyn-BtKs" TargetMode="External"/><Relationship Id="rId276" Type="http://schemas.openxmlformats.org/officeDocument/2006/relationships/hyperlink" Target="https://www.youtube.com/watch?v=8q2uIts7_uY" TargetMode="External"/><Relationship Id="rId107" Type="http://schemas.openxmlformats.org/officeDocument/2006/relationships/hyperlink" Target="https://www.youtube.com/watch?v=vzYSSY4fSkU" TargetMode="External"/><Relationship Id="rId228" Type="http://schemas.openxmlformats.org/officeDocument/2006/relationships/hyperlink" Target="https://www.youtube.com/watch?v=Xyo9Znb6iP4" TargetMode="External"/><Relationship Id="rId106" Type="http://schemas.openxmlformats.org/officeDocument/2006/relationships/hyperlink" Target="https://www.youtube.com/watch?v=jkqBPjH-peY" TargetMode="External"/><Relationship Id="rId227" Type="http://schemas.openxmlformats.org/officeDocument/2006/relationships/hyperlink" Target="https://www.youtube.com/watch?v=HXX6l6MavAE" TargetMode="External"/><Relationship Id="rId105" Type="http://schemas.openxmlformats.org/officeDocument/2006/relationships/hyperlink" Target="https://www.youtube.com/watch?v=k5LI3M-_mmI" TargetMode="External"/><Relationship Id="rId226" Type="http://schemas.openxmlformats.org/officeDocument/2006/relationships/hyperlink" Target="https://www.youtube.com/watch?v=MAy_-7UKQKI" TargetMode="External"/><Relationship Id="rId104" Type="http://schemas.openxmlformats.org/officeDocument/2006/relationships/hyperlink" Target="https://www.youtube.com/watch?v=D0C5UDynUsg" TargetMode="External"/><Relationship Id="rId225" Type="http://schemas.openxmlformats.org/officeDocument/2006/relationships/hyperlink" Target="https://www.youtube.com/watch?v=PvFPYZou8-g" TargetMode="External"/><Relationship Id="rId109" Type="http://schemas.openxmlformats.org/officeDocument/2006/relationships/hyperlink" Target="https://www.youtube.com/watch?v=PIdyKVEYGtE" TargetMode="External"/><Relationship Id="rId108" Type="http://schemas.openxmlformats.org/officeDocument/2006/relationships/hyperlink" Target="https://www.youtube.com/watch?v=58fa1BYLZ4I" TargetMode="External"/><Relationship Id="rId229" Type="http://schemas.openxmlformats.org/officeDocument/2006/relationships/hyperlink" Target="https://www.youtube.com/watch?v=jowPe8soOHI" TargetMode="External"/><Relationship Id="rId220" Type="http://schemas.openxmlformats.org/officeDocument/2006/relationships/hyperlink" Target="https://youtube.com/live/DJpYHQkhy_A?feature=share" TargetMode="External"/><Relationship Id="rId103" Type="http://schemas.openxmlformats.org/officeDocument/2006/relationships/hyperlink" Target="https://www.youtube.com/watch?v=CY1sqGGp4yw" TargetMode="External"/><Relationship Id="rId224" Type="http://schemas.openxmlformats.org/officeDocument/2006/relationships/hyperlink" Target="https://youtube.com/live/PvFPYZou8-g?" TargetMode="External"/><Relationship Id="rId102" Type="http://schemas.openxmlformats.org/officeDocument/2006/relationships/hyperlink" Target="https://www.youtube.com/watch?v=dWSqXshSziY" TargetMode="External"/><Relationship Id="rId223" Type="http://schemas.openxmlformats.org/officeDocument/2006/relationships/hyperlink" Target="https://www.youtube.com/watch?v=4B16cOWl0Ws" TargetMode="External"/><Relationship Id="rId101" Type="http://schemas.openxmlformats.org/officeDocument/2006/relationships/hyperlink" Target="https://www.youtube.com/watch?v=apRGBH5tLg0" TargetMode="External"/><Relationship Id="rId222" Type="http://schemas.openxmlformats.org/officeDocument/2006/relationships/hyperlink" Target="https://youtube.com/live/4B16cOWl0Ws?" TargetMode="External"/><Relationship Id="rId100" Type="http://schemas.openxmlformats.org/officeDocument/2006/relationships/hyperlink" Target="https://www.youtube.com/watch?v=bqfapBBDPH8" TargetMode="External"/><Relationship Id="rId221" Type="http://schemas.openxmlformats.org/officeDocument/2006/relationships/hyperlink" Target="https://www.youtube.com/watch?v=DJpYHQkhy_A" TargetMode="External"/><Relationship Id="rId217" Type="http://schemas.openxmlformats.org/officeDocument/2006/relationships/hyperlink" Target="https://www.youtube.com/watch?v=6d8l7sW5AQA" TargetMode="External"/><Relationship Id="rId216" Type="http://schemas.openxmlformats.org/officeDocument/2006/relationships/hyperlink" Target="https://youtube.com/live/6d8l7sW5AQA?feature=share" TargetMode="External"/><Relationship Id="rId215" Type="http://schemas.openxmlformats.org/officeDocument/2006/relationships/hyperlink" Target="https://www.youtube.com/watch?v=Ipo2ozYYxTI" TargetMode="External"/><Relationship Id="rId214" Type="http://schemas.openxmlformats.org/officeDocument/2006/relationships/hyperlink" Target="https://www.youtube.com/watch?v=HqH0V36anrM" TargetMode="External"/><Relationship Id="rId219" Type="http://schemas.openxmlformats.org/officeDocument/2006/relationships/hyperlink" Target="https://www.youtube.com/watch?v=RNWy1Iqjy4U" TargetMode="External"/><Relationship Id="rId218" Type="http://schemas.openxmlformats.org/officeDocument/2006/relationships/hyperlink" Target="https://www.youtube.com/watch?v=eVnHbhhQJkI" TargetMode="External"/><Relationship Id="rId213" Type="http://schemas.openxmlformats.org/officeDocument/2006/relationships/hyperlink" Target="https://youtube.com/live/HqH0V36anrM?feature=share" TargetMode="External"/><Relationship Id="rId212" Type="http://schemas.openxmlformats.org/officeDocument/2006/relationships/hyperlink" Target="https://www.youtube.com/watch?v=ag4TFSMV1KQ" TargetMode="External"/><Relationship Id="rId211" Type="http://schemas.openxmlformats.org/officeDocument/2006/relationships/hyperlink" Target="https://www.youtube.com/watch?v=cMNjuR9axxI" TargetMode="External"/><Relationship Id="rId210" Type="http://schemas.openxmlformats.org/officeDocument/2006/relationships/hyperlink" Target="https://www.youtube.com/watch?v=hxP4e5ibcwA" TargetMode="External"/><Relationship Id="rId129" Type="http://schemas.openxmlformats.org/officeDocument/2006/relationships/hyperlink" Target="https://www.youtube.com/live/5QfpFKXkod8?" TargetMode="External"/><Relationship Id="rId128" Type="http://schemas.openxmlformats.org/officeDocument/2006/relationships/hyperlink" Target="https://www.youtube.com/watch?v=DRQa8OGwsCg" TargetMode="External"/><Relationship Id="rId249" Type="http://schemas.openxmlformats.org/officeDocument/2006/relationships/hyperlink" Target="https://www.youtube.com/watch?v=yy7UNc6yy4A" TargetMode="External"/><Relationship Id="rId127" Type="http://schemas.openxmlformats.org/officeDocument/2006/relationships/hyperlink" Target="https://www.youtube.com/watch?v=ASmOYrJU964" TargetMode="External"/><Relationship Id="rId248" Type="http://schemas.openxmlformats.org/officeDocument/2006/relationships/hyperlink" Target="https://www.youtube.com/watch?v=DeNxp3Nt0Nw" TargetMode="External"/><Relationship Id="rId126" Type="http://schemas.openxmlformats.org/officeDocument/2006/relationships/hyperlink" Target="https://www.youtube.com/watch?v=kjR39tM2ayw" TargetMode="External"/><Relationship Id="rId247" Type="http://schemas.openxmlformats.org/officeDocument/2006/relationships/hyperlink" Target="https://www.youtube.com/watch?v=O-VgnyDJBJ8" TargetMode="External"/><Relationship Id="rId121" Type="http://schemas.openxmlformats.org/officeDocument/2006/relationships/hyperlink" Target="https://youtube.com/live/TmsPeJtt6-I?feature=share" TargetMode="External"/><Relationship Id="rId242" Type="http://schemas.openxmlformats.org/officeDocument/2006/relationships/hyperlink" Target="https://www.youtube.com/watch?v=zvauzjKvnM0" TargetMode="External"/><Relationship Id="rId120" Type="http://schemas.openxmlformats.org/officeDocument/2006/relationships/hyperlink" Target="https://www.youtube.com/watch?v=vkbMBFcq3Kg" TargetMode="External"/><Relationship Id="rId241" Type="http://schemas.openxmlformats.org/officeDocument/2006/relationships/hyperlink" Target="https://www.youtube.com/watch?v=2cqmD4ObYew" TargetMode="External"/><Relationship Id="rId240" Type="http://schemas.openxmlformats.org/officeDocument/2006/relationships/hyperlink" Target="https://www.youtube.com/watch?v=64mH22Iho8g" TargetMode="External"/><Relationship Id="rId125" Type="http://schemas.openxmlformats.org/officeDocument/2006/relationships/hyperlink" Target="https://www.youtube.com/watch?v=yFPOkT6G14I" TargetMode="External"/><Relationship Id="rId246" Type="http://schemas.openxmlformats.org/officeDocument/2006/relationships/hyperlink" Target="https://www.youtube.com/watch?v=7Wy6YLIRQ8c" TargetMode="External"/><Relationship Id="rId124" Type="http://schemas.openxmlformats.org/officeDocument/2006/relationships/hyperlink" Target="https://www.youtube.com/watch?v=-J8t1GpTXog" TargetMode="External"/><Relationship Id="rId245" Type="http://schemas.openxmlformats.org/officeDocument/2006/relationships/hyperlink" Target="https://www.youtube.com/watch?v=7WXIJEUEC3U" TargetMode="External"/><Relationship Id="rId123" Type="http://schemas.openxmlformats.org/officeDocument/2006/relationships/hyperlink" Target="https://youtube.com/live/-J8t1GpTXog?" TargetMode="External"/><Relationship Id="rId244" Type="http://schemas.openxmlformats.org/officeDocument/2006/relationships/hyperlink" Target="https://www.youtube.com/watch?v=i-TMOsQDNig" TargetMode="External"/><Relationship Id="rId122" Type="http://schemas.openxmlformats.org/officeDocument/2006/relationships/hyperlink" Target="https://www.youtube.com/watch?v=TmsPeJtt6-I" TargetMode="External"/><Relationship Id="rId243" Type="http://schemas.openxmlformats.org/officeDocument/2006/relationships/hyperlink" Target="https://www.youtube.com/watch?v=ngxMXNY73Fg" TargetMode="External"/><Relationship Id="rId95" Type="http://schemas.openxmlformats.org/officeDocument/2006/relationships/hyperlink" Target="https://www.youtube.com/watch?v=fGHmtkOpr2E" TargetMode="External"/><Relationship Id="rId94" Type="http://schemas.openxmlformats.org/officeDocument/2006/relationships/hyperlink" Target="https://www.youtube.com/watch?v=Q0gav66aYsc" TargetMode="External"/><Relationship Id="rId97" Type="http://schemas.openxmlformats.org/officeDocument/2006/relationships/hyperlink" Target="https://youtube.com/live/vHakGwlRd4o" TargetMode="External"/><Relationship Id="rId96" Type="http://schemas.openxmlformats.org/officeDocument/2006/relationships/hyperlink" Target="https://www.youtube.com/watch?v=loHNhtOyWGQ" TargetMode="External"/><Relationship Id="rId99" Type="http://schemas.openxmlformats.org/officeDocument/2006/relationships/hyperlink" Target="https://youtube.com/live/bqfapBBDPH8" TargetMode="External"/><Relationship Id="rId98" Type="http://schemas.openxmlformats.org/officeDocument/2006/relationships/hyperlink" Target="https://www.youtube.com/watch?v=vHakGwlRd4o" TargetMode="External"/><Relationship Id="rId91" Type="http://schemas.openxmlformats.org/officeDocument/2006/relationships/hyperlink" Target="https://www.youtube.com/watch?v=6mA1GD-i6WE" TargetMode="External"/><Relationship Id="rId90" Type="http://schemas.openxmlformats.org/officeDocument/2006/relationships/hyperlink" Target="https://www.youtube.com/watch?v=zTewunME6AY" TargetMode="External"/><Relationship Id="rId93" Type="http://schemas.openxmlformats.org/officeDocument/2006/relationships/hyperlink" Target="https://www.youtube.com/watch?v=_oPHB7b9QbU" TargetMode="External"/><Relationship Id="rId92" Type="http://schemas.openxmlformats.org/officeDocument/2006/relationships/hyperlink" Target="https://www.youtube.com/watch?v=O_0aE-2oXcI" TargetMode="External"/><Relationship Id="rId118" Type="http://schemas.openxmlformats.org/officeDocument/2006/relationships/hyperlink" Target="https://www.youtube.com/watch?v=gCgiRZk59tw" TargetMode="External"/><Relationship Id="rId239" Type="http://schemas.openxmlformats.org/officeDocument/2006/relationships/hyperlink" Target="https://www.youtube.com/watch?v=N2dw5g-MX6U" TargetMode="External"/><Relationship Id="rId117" Type="http://schemas.openxmlformats.org/officeDocument/2006/relationships/hyperlink" Target="https://www.youtube.com/watch?v=sEjoIrWkxiI" TargetMode="External"/><Relationship Id="rId238" Type="http://schemas.openxmlformats.org/officeDocument/2006/relationships/hyperlink" Target="https://www.youtube.com/watch?v=g8BtcRFryq4" TargetMode="External"/><Relationship Id="rId116" Type="http://schemas.openxmlformats.org/officeDocument/2006/relationships/hyperlink" Target="https://www.youtube.com/watch?v=rbPA4IRapII" TargetMode="External"/><Relationship Id="rId237" Type="http://schemas.openxmlformats.org/officeDocument/2006/relationships/hyperlink" Target="https://www.youtube.com/watch?v=8HNkh1_ur08" TargetMode="External"/><Relationship Id="rId115" Type="http://schemas.openxmlformats.org/officeDocument/2006/relationships/hyperlink" Target="https://www.youtube.com/watch?v=h_TQ1jvN12s" TargetMode="External"/><Relationship Id="rId236" Type="http://schemas.openxmlformats.org/officeDocument/2006/relationships/hyperlink" Target="https://www.youtube.com/watch?v=WTVLLcJ_EmY" TargetMode="External"/><Relationship Id="rId119" Type="http://schemas.openxmlformats.org/officeDocument/2006/relationships/hyperlink" Target="https://www.youtube.com/watch?v=U9puCgZI0jA" TargetMode="External"/><Relationship Id="rId110" Type="http://schemas.openxmlformats.org/officeDocument/2006/relationships/hyperlink" Target="https://youtube.com/live/DoOanHA3LSQ" TargetMode="External"/><Relationship Id="rId231" Type="http://schemas.openxmlformats.org/officeDocument/2006/relationships/hyperlink" Target="https://www.youtube.com/watch?v=_upwR4wVXrE" TargetMode="External"/><Relationship Id="rId230" Type="http://schemas.openxmlformats.org/officeDocument/2006/relationships/hyperlink" Target="https://www.youtube.com/watch?v=ubqOmwBq9D4" TargetMode="External"/><Relationship Id="rId114" Type="http://schemas.openxmlformats.org/officeDocument/2006/relationships/hyperlink" Target="https://www.youtube.com/watch?v=0ElbNyPBwtM" TargetMode="External"/><Relationship Id="rId235" Type="http://schemas.openxmlformats.org/officeDocument/2006/relationships/hyperlink" Target="https://www.youtube.com/watch?v=5d8QoNhWdcE" TargetMode="External"/><Relationship Id="rId113" Type="http://schemas.openxmlformats.org/officeDocument/2006/relationships/hyperlink" Target="https://www.youtube.com/watch?v=EUetwM-YPOc" TargetMode="External"/><Relationship Id="rId234" Type="http://schemas.openxmlformats.org/officeDocument/2006/relationships/hyperlink" Target="https://www.youtube.com/watch?v=kEV7rBs1oSw" TargetMode="External"/><Relationship Id="rId112" Type="http://schemas.openxmlformats.org/officeDocument/2006/relationships/hyperlink" Target="https://www.youtube.com/watch?v=_86rzleYb-o" TargetMode="External"/><Relationship Id="rId233" Type="http://schemas.openxmlformats.org/officeDocument/2006/relationships/hyperlink" Target="https://www.youtube.com/watch?v=YazKLBF-B6c" TargetMode="External"/><Relationship Id="rId111" Type="http://schemas.openxmlformats.org/officeDocument/2006/relationships/hyperlink" Target="https://www.youtube.com/watch?v=DoOanHA3LSQ" TargetMode="External"/><Relationship Id="rId232" Type="http://schemas.openxmlformats.org/officeDocument/2006/relationships/hyperlink" Target="https://www.youtube.com/watch?v=1xk5ezPw1Eg" TargetMode="External"/><Relationship Id="rId305" Type="http://schemas.openxmlformats.org/officeDocument/2006/relationships/hyperlink" Target="https://youtube.com/live/8LFZNQmrZvc?feature=share" TargetMode="External"/><Relationship Id="rId304" Type="http://schemas.openxmlformats.org/officeDocument/2006/relationships/hyperlink" Target="https://youtube.com/live/8LFZNQmrZvc?feature=share" TargetMode="External"/><Relationship Id="rId303" Type="http://schemas.openxmlformats.org/officeDocument/2006/relationships/hyperlink" Target="https://youtu.be/3UtZkHdsK4I" TargetMode="External"/><Relationship Id="rId302" Type="http://schemas.openxmlformats.org/officeDocument/2006/relationships/hyperlink" Target="https://youtu.be/3UtZkHdsK4I" TargetMode="External"/><Relationship Id="rId309" Type="http://schemas.openxmlformats.org/officeDocument/2006/relationships/hyperlink" Target="https://youtu.be/cwvcDjBpWPQ" TargetMode="External"/><Relationship Id="rId308" Type="http://schemas.openxmlformats.org/officeDocument/2006/relationships/hyperlink" Target="https://youtu.be/cwvcDjBpWPQ" TargetMode="External"/><Relationship Id="rId307" Type="http://schemas.openxmlformats.org/officeDocument/2006/relationships/hyperlink" Target="https://youtube.com/live/jlrlI1veqlI?feature=share" TargetMode="External"/><Relationship Id="rId306" Type="http://schemas.openxmlformats.org/officeDocument/2006/relationships/hyperlink" Target="https://youtube.com/live/jlrlI1veqlI?feature=share" TargetMode="External"/><Relationship Id="rId301" Type="http://schemas.openxmlformats.org/officeDocument/2006/relationships/hyperlink" Target="https://youtu.be/sw3MaBxVcgs" TargetMode="External"/><Relationship Id="rId300" Type="http://schemas.openxmlformats.org/officeDocument/2006/relationships/hyperlink" Target="https://youtu.be/sw3MaBxVcgs" TargetMode="External"/><Relationship Id="rId206" Type="http://schemas.openxmlformats.org/officeDocument/2006/relationships/hyperlink" Target="https://www.youtube.com/watch?v=OVcI4-VLfFs" TargetMode="External"/><Relationship Id="rId205" Type="http://schemas.openxmlformats.org/officeDocument/2006/relationships/hyperlink" Target="https://www.youtube.com/watch?v=r8Tpp4XEuuc" TargetMode="External"/><Relationship Id="rId326" Type="http://schemas.openxmlformats.org/officeDocument/2006/relationships/drawing" Target="../drawings/drawing2.xml"/><Relationship Id="rId204" Type="http://schemas.openxmlformats.org/officeDocument/2006/relationships/hyperlink" Target="https://www.youtube.com/watch?v=dbwp_nmBYWk" TargetMode="External"/><Relationship Id="rId325" Type="http://schemas.openxmlformats.org/officeDocument/2006/relationships/hyperlink" Target="https://youtu.be/KCQx1rBymOc" TargetMode="External"/><Relationship Id="rId203" Type="http://schemas.openxmlformats.org/officeDocument/2006/relationships/hyperlink" Target="https://www.youtube.com/watch?v=IbGloENJvgw" TargetMode="External"/><Relationship Id="rId324" Type="http://schemas.openxmlformats.org/officeDocument/2006/relationships/hyperlink" Target="https://youtu.be/KCQx1rBymOc" TargetMode="External"/><Relationship Id="rId209" Type="http://schemas.openxmlformats.org/officeDocument/2006/relationships/hyperlink" Target="https://www.youtube.com/watch?v=4Kpqdz8Nrnk" TargetMode="External"/><Relationship Id="rId208" Type="http://schemas.openxmlformats.org/officeDocument/2006/relationships/hyperlink" Target="https://youtube.com/live/4Kpqdz8Nrnk?" TargetMode="External"/><Relationship Id="rId207" Type="http://schemas.openxmlformats.org/officeDocument/2006/relationships/hyperlink" Target="https://www.youtube.com/watch?v=RLMviTPK33o" TargetMode="External"/><Relationship Id="rId202" Type="http://schemas.openxmlformats.org/officeDocument/2006/relationships/hyperlink" Target="https://www.youtube.com/watch?v=h9iOVLt3jLI" TargetMode="External"/><Relationship Id="rId323" Type="http://schemas.openxmlformats.org/officeDocument/2006/relationships/hyperlink" Target="https://youtu.be/GEDKN56DSa4" TargetMode="External"/><Relationship Id="rId201" Type="http://schemas.openxmlformats.org/officeDocument/2006/relationships/hyperlink" Target="https://www.youtube.com/watch?v=4OhWNU40hqE" TargetMode="External"/><Relationship Id="rId322" Type="http://schemas.openxmlformats.org/officeDocument/2006/relationships/hyperlink" Target="https://youtu.be/GEDKN56DSa4" TargetMode="External"/><Relationship Id="rId200" Type="http://schemas.openxmlformats.org/officeDocument/2006/relationships/hyperlink" Target="https://www.youtube.com/watch?v=sAjv8SsYdYQ" TargetMode="External"/><Relationship Id="rId321" Type="http://schemas.openxmlformats.org/officeDocument/2006/relationships/hyperlink" Target="https://youtu.be/frZrzQYULZI" TargetMode="External"/><Relationship Id="rId320" Type="http://schemas.openxmlformats.org/officeDocument/2006/relationships/hyperlink" Target="https://youtu.be/frZrzQYULZI" TargetMode="External"/><Relationship Id="rId316" Type="http://schemas.openxmlformats.org/officeDocument/2006/relationships/hyperlink" Target="https://youtu.be/yFLLFQnJfGs" TargetMode="External"/><Relationship Id="rId315" Type="http://schemas.openxmlformats.org/officeDocument/2006/relationships/hyperlink" Target="https://youtu.be/51mPcuSbORo" TargetMode="External"/><Relationship Id="rId314" Type="http://schemas.openxmlformats.org/officeDocument/2006/relationships/hyperlink" Target="https://youtu.be/51mPcuSbORo" TargetMode="External"/><Relationship Id="rId313" Type="http://schemas.openxmlformats.org/officeDocument/2006/relationships/hyperlink" Target="https://youtube.com/live/2GygAzTyURo?feature=share" TargetMode="External"/><Relationship Id="rId319" Type="http://schemas.openxmlformats.org/officeDocument/2006/relationships/hyperlink" Target="https://youtu.be/iOU2_tMDXUE" TargetMode="External"/><Relationship Id="rId318" Type="http://schemas.openxmlformats.org/officeDocument/2006/relationships/hyperlink" Target="https://youtu.be/iOU2_tMDXUE" TargetMode="External"/><Relationship Id="rId317" Type="http://schemas.openxmlformats.org/officeDocument/2006/relationships/hyperlink" Target="https://youtu.be/yFLLFQnJfGs" TargetMode="External"/><Relationship Id="rId312" Type="http://schemas.openxmlformats.org/officeDocument/2006/relationships/hyperlink" Target="https://youtube.com/live/9tIXUP42nFM?feature=share" TargetMode="External"/><Relationship Id="rId311" Type="http://schemas.openxmlformats.org/officeDocument/2006/relationships/hyperlink" Target="https://youtu.be/L-IWP6bCqMs" TargetMode="External"/><Relationship Id="rId310" Type="http://schemas.openxmlformats.org/officeDocument/2006/relationships/hyperlink" Target="https://youtu.be/L-IWP6bCqM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2.38"/>
    <col customWidth="1" min="2" max="2" width="37.88"/>
    <col customWidth="1" min="3" max="3" width="14.88"/>
    <col customWidth="1" min="4" max="4" width="21.75"/>
    <col customWidth="1" min="5" max="5" width="19.75"/>
    <col customWidth="1" hidden="1" min="6" max="6" width="17.75"/>
    <col customWidth="1" hidden="1" min="7" max="7" width="11.5"/>
    <col customWidth="1" hidden="1" min="8" max="8" width="25.5"/>
    <col customWidth="1" min="9" max="9" width="43.25"/>
    <col customWidth="1" min="10" max="10" width="12.25"/>
    <col customWidth="1" min="11" max="11" width="23.88"/>
    <col customWidth="1" min="12" max="12" width="69.0"/>
    <col customWidth="1" min="13" max="13" width="23.88"/>
    <col customWidth="1" min="14" max="14" width="20.88"/>
    <col customWidth="1" min="15" max="15" width="23.25"/>
    <col customWidth="1" min="16" max="16" width="16.13"/>
    <col customWidth="1" min="17" max="17" width="10.63"/>
    <col customWidth="1" min="18" max="18" width="40.5"/>
    <col customWidth="1" min="19" max="19" width="35.0"/>
    <col customWidth="1" min="20" max="37" width="10.63"/>
  </cols>
  <sheetData>
    <row r="1">
      <c r="A1" s="3" t="s">
        <v>20</v>
      </c>
      <c r="B1" s="4" t="s">
        <v>0</v>
      </c>
      <c r="C1" s="5" t="s">
        <v>26</v>
      </c>
      <c r="D1" s="5" t="s">
        <v>28</v>
      </c>
      <c r="E1" s="5" t="s">
        <v>30</v>
      </c>
      <c r="F1" s="5" t="s">
        <v>31</v>
      </c>
      <c r="G1" s="6" t="s">
        <v>33</v>
      </c>
      <c r="H1" s="7" t="s">
        <v>36</v>
      </c>
      <c r="I1" s="7" t="s">
        <v>38</v>
      </c>
      <c r="J1" s="3" t="s">
        <v>33</v>
      </c>
      <c r="K1" s="5" t="s">
        <v>39</v>
      </c>
      <c r="L1" s="3" t="s">
        <v>41</v>
      </c>
      <c r="M1" s="8" t="s">
        <v>42</v>
      </c>
      <c r="N1" s="8" t="s">
        <v>44</v>
      </c>
      <c r="O1" s="8" t="s">
        <v>45</v>
      </c>
      <c r="P1" s="8" t="s">
        <v>46</v>
      </c>
      <c r="Q1" s="9"/>
      <c r="R1" s="10" t="s">
        <v>48</v>
      </c>
      <c r="S1" s="10" t="s">
        <v>50</v>
      </c>
      <c r="T1" s="9"/>
      <c r="U1" s="9"/>
      <c r="V1" s="9"/>
      <c r="W1" s="9"/>
      <c r="X1" s="9"/>
      <c r="Y1" s="9"/>
      <c r="Z1" s="9"/>
      <c r="AA1" s="9"/>
      <c r="AB1" s="9"/>
      <c r="AC1" s="9"/>
      <c r="AD1" s="9"/>
      <c r="AE1" s="9"/>
      <c r="AF1" s="9"/>
      <c r="AG1" s="9"/>
      <c r="AH1" s="9"/>
      <c r="AI1" s="9"/>
      <c r="AJ1" s="9"/>
      <c r="AK1" s="9"/>
    </row>
    <row r="2" hidden="1">
      <c r="A2" s="11" t="s">
        <v>56</v>
      </c>
      <c r="B2" s="12" t="str">
        <f>TRIM(MID(A2, SEARCH("- ", A2) + 2, LEN(A2)))
</f>
        <v>MANEJO DE EPPS SEGÚN LA NORMA TÉCNICA PERUANA LEY 29783</v>
      </c>
      <c r="C2" s="13" t="s">
        <v>77</v>
      </c>
      <c r="D2" s="13" t="s">
        <v>77</v>
      </c>
      <c r="E2" s="13" t="s">
        <v>65</v>
      </c>
      <c r="F2" s="13" t="s">
        <v>77</v>
      </c>
      <c r="G2" s="14" t="s">
        <v>83</v>
      </c>
      <c r="H2" s="15" t="str">
        <f t="shared" ref="H2:H91" si="1">SUBSTITUTE(LEFT(MID(G2,FIND("https",G2),99),FIND("?",G2)-FIND("https",G2)), "/live/", "/embed/")</f>
        <v>https://youtube.com/embed/dJWHecyW_-I</v>
      </c>
      <c r="I2" s="15" t="s">
        <v>94</v>
      </c>
      <c r="J2" s="16" t="str">
        <f>"COMIENZA DICIENDO QUE ES EL RESUMEN DEL CURSO " &amp; B2 &amp; " DE EDUMIN, LUEGO HAZ EL RESUMEN Y FINALIZA INVITANDO A VER EL RESTO DE RECURSOS DE LAS ZONAS DE EDUMIN."</f>
        <v>COMIENZA DICIENDO QUE ES EL RESUMEN DEL CURSO MANEJO DE EPPS SEGÚN LA NORMA TÉCNICA PERUANA LEY 29783 DE EDUMIN, LUEGO HAZ EL RESUMEN Y FINALIZA INVITANDO A VER EL RESTO DE RECURSOS DE LAS ZONAS DE EDUMIN.</v>
      </c>
      <c r="K2" s="17" t="s">
        <v>114</v>
      </c>
      <c r="L2" s="18"/>
      <c r="M2" s="18" t="s">
        <v>117</v>
      </c>
      <c r="N2" s="18" t="s">
        <v>118</v>
      </c>
      <c r="O2" s="18" t="s">
        <v>120</v>
      </c>
      <c r="P2" s="18">
        <v>30.0</v>
      </c>
      <c r="Q2" s="19"/>
      <c r="R2" s="21" t="s">
        <v>122</v>
      </c>
      <c r="S2" s="21" t="s">
        <v>124</v>
      </c>
      <c r="T2" s="19"/>
      <c r="U2" s="19"/>
      <c r="V2" s="19"/>
      <c r="W2" s="19"/>
      <c r="X2" s="19"/>
      <c r="Y2" s="19"/>
      <c r="Z2" s="19"/>
      <c r="AA2" s="19"/>
      <c r="AB2" s="19"/>
      <c r="AC2" s="19"/>
      <c r="AD2" s="19"/>
      <c r="AE2" s="19"/>
      <c r="AF2" s="19"/>
      <c r="AG2" s="19"/>
      <c r="AH2" s="19"/>
      <c r="AI2" s="19"/>
      <c r="AJ2" s="19"/>
      <c r="AK2" s="19"/>
    </row>
    <row r="3" hidden="1">
      <c r="A3" s="23"/>
      <c r="B3" s="23"/>
      <c r="C3" s="23"/>
      <c r="D3" s="23"/>
      <c r="E3" s="23"/>
      <c r="F3" s="23"/>
      <c r="G3" s="14" t="s">
        <v>126</v>
      </c>
      <c r="H3" s="15" t="str">
        <f t="shared" si="1"/>
        <v>https://youtube.com/embed/OXb7rpvAm4I</v>
      </c>
      <c r="I3" s="15" t="s">
        <v>130</v>
      </c>
      <c r="J3" s="18"/>
      <c r="K3" s="17" t="s">
        <v>114</v>
      </c>
      <c r="L3" s="18"/>
      <c r="M3" s="18"/>
      <c r="N3" s="18"/>
      <c r="O3" s="18"/>
      <c r="P3" s="18"/>
      <c r="Q3" s="19"/>
      <c r="R3" s="21"/>
      <c r="S3" s="21"/>
      <c r="T3" s="19"/>
      <c r="U3" s="19"/>
      <c r="V3" s="19"/>
      <c r="W3" s="19"/>
      <c r="X3" s="19"/>
      <c r="Y3" s="19"/>
      <c r="Z3" s="19"/>
      <c r="AA3" s="19"/>
      <c r="AB3" s="19"/>
      <c r="AC3" s="19"/>
      <c r="AD3" s="19"/>
      <c r="AE3" s="19"/>
      <c r="AF3" s="19"/>
      <c r="AG3" s="19"/>
      <c r="AH3" s="19"/>
      <c r="AI3" s="19"/>
      <c r="AJ3" s="19"/>
      <c r="AK3" s="19"/>
    </row>
    <row r="4" hidden="1">
      <c r="A4" s="23"/>
      <c r="B4" s="23"/>
      <c r="C4" s="23"/>
      <c r="D4" s="23"/>
      <c r="E4" s="23"/>
      <c r="F4" s="23"/>
      <c r="G4" s="14" t="s">
        <v>136</v>
      </c>
      <c r="H4" s="15" t="str">
        <f t="shared" si="1"/>
        <v>https://youtube.com/embed/1lI7DvubMUM</v>
      </c>
      <c r="I4" s="15" t="s">
        <v>140</v>
      </c>
      <c r="J4" s="18"/>
      <c r="K4" s="17" t="s">
        <v>114</v>
      </c>
      <c r="L4" s="18"/>
      <c r="M4" s="18"/>
      <c r="N4" s="18"/>
      <c r="O4" s="18"/>
      <c r="P4" s="18"/>
      <c r="Q4" s="19"/>
      <c r="R4" s="21"/>
      <c r="S4" s="21"/>
      <c r="T4" s="19"/>
      <c r="U4" s="19"/>
      <c r="V4" s="19"/>
      <c r="W4" s="19"/>
      <c r="X4" s="19"/>
      <c r="Y4" s="19"/>
      <c r="Z4" s="19"/>
      <c r="AA4" s="19"/>
      <c r="AB4" s="19"/>
      <c r="AC4" s="19"/>
      <c r="AD4" s="19"/>
      <c r="AE4" s="19"/>
      <c r="AF4" s="19"/>
      <c r="AG4" s="19"/>
      <c r="AH4" s="19"/>
      <c r="AI4" s="19"/>
      <c r="AJ4" s="19"/>
      <c r="AK4" s="19"/>
    </row>
    <row r="5" hidden="1">
      <c r="A5" s="27"/>
      <c r="B5" s="27"/>
      <c r="C5" s="27"/>
      <c r="D5" s="27"/>
      <c r="E5" s="27"/>
      <c r="F5" s="27"/>
      <c r="G5" s="14" t="s">
        <v>152</v>
      </c>
      <c r="H5" s="15" t="str">
        <f t="shared" si="1"/>
        <v>https://youtube.com/embed/AGtFQ3G1FCU</v>
      </c>
      <c r="I5" s="15" t="s">
        <v>155</v>
      </c>
      <c r="J5" s="18"/>
      <c r="K5" s="17" t="s">
        <v>114</v>
      </c>
      <c r="L5" s="18"/>
      <c r="M5" s="18"/>
      <c r="N5" s="18"/>
      <c r="O5" s="18"/>
      <c r="P5" s="18"/>
      <c r="Q5" s="19"/>
      <c r="R5" s="21"/>
      <c r="S5" s="21"/>
      <c r="T5" s="19"/>
      <c r="U5" s="19"/>
      <c r="V5" s="19"/>
      <c r="W5" s="19"/>
      <c r="X5" s="19"/>
      <c r="Y5" s="19"/>
      <c r="Z5" s="19"/>
      <c r="AA5" s="19"/>
      <c r="AB5" s="19"/>
      <c r="AC5" s="19"/>
      <c r="AD5" s="19"/>
      <c r="AE5" s="19"/>
      <c r="AF5" s="19"/>
      <c r="AG5" s="19"/>
      <c r="AH5" s="19"/>
      <c r="AI5" s="19"/>
      <c r="AJ5" s="19"/>
      <c r="AK5" s="19"/>
    </row>
    <row r="6">
      <c r="A6" s="28" t="s">
        <v>159</v>
      </c>
      <c r="B6" s="26" t="str">
        <f>TRIM(MID(A6, SEARCH("- ", A6) + 2, LEN(A6)))
</f>
        <v>IMPLEMENTACIÓN DE MEDIDAS DE CONTROL EN RIESGOS MINEROS</v>
      </c>
      <c r="C6" s="13" t="s">
        <v>77</v>
      </c>
      <c r="D6" s="13" t="s">
        <v>77</v>
      </c>
      <c r="E6" s="13" t="s">
        <v>65</v>
      </c>
      <c r="F6" s="13" t="s">
        <v>77</v>
      </c>
      <c r="G6" s="29" t="s">
        <v>160</v>
      </c>
      <c r="H6" s="15" t="str">
        <f t="shared" si="1"/>
        <v>https://youtube.com/embed/ezIG1eilHYg</v>
      </c>
      <c r="I6" s="15" t="s">
        <v>161</v>
      </c>
      <c r="J6" s="30" t="str">
        <f>"COMIENZA DICIENDO QUE ES EL RESUMEN DEL CURSO " &amp; B6 &amp; " DE EDUMIN, LUEGO HAZ EL RESUMEN Y FINALIZA INVITANDO A VER EL RESTO DE RECURSOS DE LAS ZONAS DE EDUMIN."</f>
        <v>COMIENZA DICIENDO QUE ES EL RESUMEN DEL CURSO IMPLEMENTACIÓN DE MEDIDAS DE CONTROL EN RIESGOS MINEROS DE EDUMIN, LUEGO HAZ EL RESUMEN Y FINALIZA INVITANDO A VER EL RESTO DE RECURSOS DE LAS ZONAS DE EDUMIN.</v>
      </c>
      <c r="K6" s="17" t="s">
        <v>114</v>
      </c>
      <c r="L6" s="18"/>
      <c r="M6" s="18" t="s">
        <v>164</v>
      </c>
      <c r="N6" s="18" t="s">
        <v>120</v>
      </c>
      <c r="O6" s="18" t="s">
        <v>165</v>
      </c>
      <c r="P6" s="18">
        <v>30.0</v>
      </c>
      <c r="Q6" s="19"/>
      <c r="R6" s="21" t="s">
        <v>122</v>
      </c>
      <c r="S6" s="21" t="s">
        <v>124</v>
      </c>
      <c r="T6" s="19"/>
      <c r="U6" s="19"/>
      <c r="V6" s="19"/>
      <c r="W6" s="19"/>
      <c r="X6" s="19"/>
      <c r="Y6" s="19"/>
      <c r="Z6" s="19"/>
      <c r="AA6" s="19"/>
      <c r="AB6" s="19"/>
      <c r="AC6" s="19"/>
      <c r="AD6" s="19"/>
      <c r="AE6" s="19"/>
      <c r="AF6" s="19"/>
      <c r="AG6" s="19"/>
      <c r="AH6" s="19"/>
      <c r="AI6" s="19"/>
      <c r="AJ6" s="19"/>
      <c r="AK6" s="19"/>
    </row>
    <row r="7">
      <c r="A7" s="23"/>
      <c r="B7" s="23"/>
      <c r="C7" s="23"/>
      <c r="D7" s="23"/>
      <c r="E7" s="23"/>
      <c r="F7" s="23"/>
      <c r="G7" s="29" t="s">
        <v>171</v>
      </c>
      <c r="H7" s="15" t="str">
        <f t="shared" si="1"/>
        <v>https://youtube.com/embed/WzfXRcMAedg</v>
      </c>
      <c r="I7" s="15" t="s">
        <v>174</v>
      </c>
      <c r="J7" s="37"/>
      <c r="K7" s="17" t="s">
        <v>114</v>
      </c>
      <c r="L7" s="18"/>
      <c r="M7" s="18"/>
      <c r="N7" s="18"/>
      <c r="O7" s="18"/>
      <c r="P7" s="18"/>
      <c r="Q7" s="19"/>
      <c r="R7" s="21"/>
      <c r="S7" s="21"/>
      <c r="T7" s="19"/>
      <c r="U7" s="19"/>
      <c r="V7" s="19"/>
      <c r="W7" s="19"/>
      <c r="X7" s="19"/>
      <c r="Y7" s="19"/>
      <c r="Z7" s="19"/>
      <c r="AA7" s="19"/>
      <c r="AB7" s="19"/>
      <c r="AC7" s="19"/>
      <c r="AD7" s="19"/>
      <c r="AE7" s="19"/>
      <c r="AF7" s="19"/>
      <c r="AG7" s="19"/>
      <c r="AH7" s="19"/>
      <c r="AI7" s="19"/>
      <c r="AJ7" s="19"/>
      <c r="AK7" s="19"/>
    </row>
    <row r="8">
      <c r="A8" s="23"/>
      <c r="B8" s="23"/>
      <c r="C8" s="23"/>
      <c r="D8" s="23"/>
      <c r="E8" s="23"/>
      <c r="F8" s="23"/>
      <c r="G8" s="29" t="s">
        <v>181</v>
      </c>
      <c r="H8" s="15" t="str">
        <f t="shared" si="1"/>
        <v>https://youtube.com/embed/l3d1FJjsBnI</v>
      </c>
      <c r="I8" s="15" t="s">
        <v>182</v>
      </c>
      <c r="J8" s="37"/>
      <c r="K8" s="17" t="s">
        <v>114</v>
      </c>
      <c r="L8" s="18"/>
      <c r="M8" s="18"/>
      <c r="N8" s="18"/>
      <c r="O8" s="18"/>
      <c r="P8" s="18"/>
      <c r="Q8" s="19"/>
      <c r="R8" s="21"/>
      <c r="S8" s="21"/>
      <c r="T8" s="19"/>
      <c r="U8" s="19"/>
      <c r="V8" s="19"/>
      <c r="W8" s="19"/>
      <c r="X8" s="19"/>
      <c r="Y8" s="19"/>
      <c r="Z8" s="19"/>
      <c r="AA8" s="19"/>
      <c r="AB8" s="19"/>
      <c r="AC8" s="19"/>
      <c r="AD8" s="19"/>
      <c r="AE8" s="19"/>
      <c r="AF8" s="19"/>
      <c r="AG8" s="19"/>
      <c r="AH8" s="19"/>
      <c r="AI8" s="19"/>
      <c r="AJ8" s="19"/>
      <c r="AK8" s="19"/>
    </row>
    <row r="9">
      <c r="A9" s="27"/>
      <c r="B9" s="27"/>
      <c r="C9" s="27"/>
      <c r="D9" s="27"/>
      <c r="E9" s="27"/>
      <c r="F9" s="27"/>
      <c r="G9" s="29" t="s">
        <v>183</v>
      </c>
      <c r="H9" s="15" t="str">
        <f t="shared" si="1"/>
        <v>https://youtube.com/embed/iGRxLKNnaT8</v>
      </c>
      <c r="I9" s="15" t="s">
        <v>184</v>
      </c>
      <c r="J9" s="37"/>
      <c r="K9" s="17" t="s">
        <v>114</v>
      </c>
      <c r="L9" s="18"/>
      <c r="M9" s="18"/>
      <c r="N9" s="18"/>
      <c r="O9" s="18"/>
      <c r="P9" s="18"/>
      <c r="Q9" s="19"/>
      <c r="R9" s="21"/>
      <c r="S9" s="21"/>
      <c r="T9" s="19"/>
      <c r="U9" s="19"/>
      <c r="V9" s="19"/>
      <c r="W9" s="19"/>
      <c r="X9" s="19"/>
      <c r="Y9" s="19"/>
      <c r="Z9" s="19"/>
      <c r="AA9" s="19"/>
      <c r="AB9" s="19"/>
      <c r="AC9" s="19"/>
      <c r="AD9" s="19"/>
      <c r="AE9" s="19"/>
      <c r="AF9" s="19"/>
      <c r="AG9" s="19"/>
      <c r="AH9" s="19"/>
      <c r="AI9" s="19"/>
      <c r="AJ9" s="19"/>
      <c r="AK9" s="19"/>
    </row>
    <row r="10" hidden="1">
      <c r="A10" s="26" t="s">
        <v>188</v>
      </c>
      <c r="B10" s="12" t="str">
        <f>TRIM(MID(A10, SEARCH("- ", A10) + 2, LEN(A10)))
</f>
        <v>ERGONOMÍA Y SALUD OCUPACIONAL EN EL SECTOR MINERO E INDUSTRIAL</v>
      </c>
      <c r="C10" s="13" t="s">
        <v>77</v>
      </c>
      <c r="D10" s="13" t="s">
        <v>77</v>
      </c>
      <c r="E10" s="13" t="s">
        <v>65</v>
      </c>
      <c r="F10" s="13" t="s">
        <v>77</v>
      </c>
      <c r="G10" s="29" t="s">
        <v>190</v>
      </c>
      <c r="H10" s="15" t="str">
        <f t="shared" si="1"/>
        <v>https://youtube.com/embed/Kwp1T7tc7n0</v>
      </c>
      <c r="I10" s="15" t="s">
        <v>191</v>
      </c>
      <c r="J10" s="16" t="str">
        <f>"COMIENZA DICIENDO QUE ES EL RESUMEN DEL CURSO " &amp; B10 &amp; " DE EDUMIN, LUEGO HAZ EL RESUMEN Y FINALIZA INVITANDO A VER EL RESTO DE RECURSOS DE LAS ZONAS DE EDUMIN."</f>
        <v>COMIENZA DICIENDO QUE ES EL RESUMEN DEL CURSO ERGONOMÍA Y SALUD OCUPACIONAL EN EL SECTOR MINERO E INDUSTRIAL DE EDUMIN, LUEGO HAZ EL RESUMEN Y FINALIZA INVITANDO A VER EL RESTO DE RECURSOS DE LAS ZONAS DE EDUMIN.</v>
      </c>
      <c r="K10" s="17" t="s">
        <v>114</v>
      </c>
      <c r="L10" s="18"/>
      <c r="M10" s="18" t="s">
        <v>117</v>
      </c>
      <c r="N10" s="18" t="s">
        <v>118</v>
      </c>
      <c r="O10" s="18" t="s">
        <v>120</v>
      </c>
      <c r="P10" s="18">
        <v>30.0</v>
      </c>
      <c r="Q10" s="19"/>
      <c r="R10" s="21" t="s">
        <v>122</v>
      </c>
      <c r="S10" s="21" t="s">
        <v>124</v>
      </c>
      <c r="T10" s="19"/>
      <c r="U10" s="19"/>
      <c r="V10" s="19"/>
      <c r="W10" s="19"/>
      <c r="X10" s="19"/>
      <c r="Y10" s="19"/>
      <c r="Z10" s="19"/>
      <c r="AA10" s="19"/>
      <c r="AB10" s="19"/>
      <c r="AC10" s="19"/>
      <c r="AD10" s="19"/>
      <c r="AE10" s="19"/>
      <c r="AF10" s="19"/>
      <c r="AG10" s="19"/>
      <c r="AH10" s="19"/>
      <c r="AI10" s="19"/>
      <c r="AJ10" s="19"/>
      <c r="AK10" s="19"/>
    </row>
    <row r="11" hidden="1">
      <c r="A11" s="23"/>
      <c r="B11" s="23"/>
      <c r="C11" s="23"/>
      <c r="D11" s="23"/>
      <c r="E11" s="23"/>
      <c r="F11" s="23"/>
      <c r="G11" s="29" t="s">
        <v>205</v>
      </c>
      <c r="H11" s="15" t="str">
        <f t="shared" si="1"/>
        <v>https://youtube.com/embed/-XxNjC5YTWU</v>
      </c>
      <c r="I11" s="15" t="s">
        <v>208</v>
      </c>
      <c r="J11" s="18"/>
      <c r="K11" s="17" t="s">
        <v>114</v>
      </c>
      <c r="L11" s="18"/>
      <c r="M11" s="18"/>
      <c r="N11" s="18"/>
      <c r="O11" s="18"/>
      <c r="P11" s="18"/>
      <c r="Q11" s="19"/>
      <c r="R11" s="21"/>
      <c r="S11" s="21"/>
      <c r="T11" s="19"/>
      <c r="U11" s="19"/>
      <c r="V11" s="19"/>
      <c r="W11" s="19"/>
      <c r="X11" s="19"/>
      <c r="Y11" s="19"/>
      <c r="Z11" s="19"/>
      <c r="AA11" s="19"/>
      <c r="AB11" s="19"/>
      <c r="AC11" s="19"/>
      <c r="AD11" s="19"/>
      <c r="AE11" s="19"/>
      <c r="AF11" s="19"/>
      <c r="AG11" s="19"/>
      <c r="AH11" s="19"/>
      <c r="AI11" s="19"/>
      <c r="AJ11" s="19"/>
      <c r="AK11" s="19"/>
    </row>
    <row r="12" hidden="1">
      <c r="A12" s="23"/>
      <c r="B12" s="23"/>
      <c r="C12" s="23"/>
      <c r="D12" s="23"/>
      <c r="E12" s="23"/>
      <c r="F12" s="23"/>
      <c r="G12" s="29" t="s">
        <v>222</v>
      </c>
      <c r="H12" s="15" t="str">
        <f t="shared" si="1"/>
        <v>https://youtube.com/embed/UlFAlcui1Iw</v>
      </c>
      <c r="I12" s="15" t="s">
        <v>225</v>
      </c>
      <c r="J12" s="18"/>
      <c r="K12" s="17" t="s">
        <v>114</v>
      </c>
      <c r="L12" s="18"/>
      <c r="M12" s="18"/>
      <c r="N12" s="18"/>
      <c r="O12" s="18"/>
      <c r="P12" s="18"/>
      <c r="Q12" s="19"/>
      <c r="R12" s="21"/>
      <c r="S12" s="21"/>
      <c r="T12" s="19"/>
      <c r="U12" s="19"/>
      <c r="V12" s="19"/>
      <c r="W12" s="19"/>
      <c r="X12" s="19"/>
      <c r="Y12" s="19"/>
      <c r="Z12" s="19"/>
      <c r="AA12" s="19"/>
      <c r="AB12" s="19"/>
      <c r="AC12" s="19"/>
      <c r="AD12" s="19"/>
      <c r="AE12" s="19"/>
      <c r="AF12" s="19"/>
      <c r="AG12" s="19"/>
      <c r="AH12" s="19"/>
      <c r="AI12" s="19"/>
      <c r="AJ12" s="19"/>
      <c r="AK12" s="19"/>
    </row>
    <row r="13" hidden="1">
      <c r="A13" s="27"/>
      <c r="B13" s="27"/>
      <c r="C13" s="27"/>
      <c r="D13" s="27"/>
      <c r="E13" s="27"/>
      <c r="F13" s="27"/>
      <c r="G13" s="48" t="s">
        <v>230</v>
      </c>
      <c r="H13" s="15" t="str">
        <f t="shared" si="1"/>
        <v>https://youtube.com/embed/424PbUvthZ0</v>
      </c>
      <c r="I13" s="15" t="s">
        <v>231</v>
      </c>
      <c r="J13" s="18"/>
      <c r="K13" s="17" t="s">
        <v>114</v>
      </c>
      <c r="L13" s="18"/>
      <c r="M13" s="18"/>
      <c r="N13" s="18"/>
      <c r="O13" s="18"/>
      <c r="P13" s="18"/>
      <c r="Q13" s="19"/>
      <c r="R13" s="21"/>
      <c r="S13" s="21"/>
      <c r="T13" s="19"/>
      <c r="U13" s="19"/>
      <c r="V13" s="19"/>
      <c r="W13" s="19"/>
      <c r="X13" s="19"/>
      <c r="Y13" s="19"/>
      <c r="Z13" s="19"/>
      <c r="AA13" s="19"/>
      <c r="AB13" s="19"/>
      <c r="AC13" s="19"/>
      <c r="AD13" s="19"/>
      <c r="AE13" s="19"/>
      <c r="AF13" s="19"/>
      <c r="AG13" s="19"/>
      <c r="AH13" s="19"/>
      <c r="AI13" s="19"/>
      <c r="AJ13" s="19"/>
      <c r="AK13" s="19"/>
    </row>
    <row r="14" hidden="1">
      <c r="A14" s="50" t="s">
        <v>233</v>
      </c>
      <c r="B14" s="12" t="str">
        <f>TRIM(MID(A14, SEARCH("- ", A14) + 2, LEN(A14)))
</f>
        <v>MARCO JURÍDICO Y NORMATIVO DE LA MINERÍA</v>
      </c>
      <c r="C14" s="13" t="s">
        <v>77</v>
      </c>
      <c r="D14" s="13" t="s">
        <v>77</v>
      </c>
      <c r="E14" s="13" t="s">
        <v>235</v>
      </c>
      <c r="F14" s="13" t="s">
        <v>77</v>
      </c>
      <c r="G14" s="48" t="s">
        <v>236</v>
      </c>
      <c r="H14" s="15" t="str">
        <f t="shared" si="1"/>
        <v>https://youtube.com/embed/d7f0Jg7Y5YY</v>
      </c>
      <c r="I14" s="15" t="s">
        <v>237</v>
      </c>
      <c r="J14" s="16" t="str">
        <f>"COMIENZA DICIENDO QUE ES EL RESUMEN DEL CURSO " &amp; B14 &amp; " DE EDUMIN, LUEGO HAZ EL RESUMEN Y FINALIZA INVITANDO A VER EL RESTO DE RECURSOS DE LAS ZONAS DE EDUMIN."</f>
        <v>COMIENZA DICIENDO QUE ES EL RESUMEN DEL CURSO MARCO JURÍDICO Y NORMATIVO DE LA MINERÍA DE EDUMIN, LUEGO HAZ EL RESUMEN Y FINALIZA INVITANDO A VER EL RESTO DE RECURSOS DE LAS ZONAS DE EDUMIN.</v>
      </c>
      <c r="K14" s="17" t="s">
        <v>114</v>
      </c>
      <c r="L14" s="18"/>
      <c r="M14" s="18" t="s">
        <v>117</v>
      </c>
      <c r="N14" s="18" t="s">
        <v>118</v>
      </c>
      <c r="O14" s="18" t="s">
        <v>120</v>
      </c>
      <c r="P14" s="18">
        <v>30.0</v>
      </c>
      <c r="Q14" s="19"/>
      <c r="R14" s="21" t="s">
        <v>122</v>
      </c>
      <c r="S14" s="21" t="s">
        <v>124</v>
      </c>
      <c r="T14" s="19"/>
      <c r="U14" s="19"/>
      <c r="V14" s="19"/>
      <c r="W14" s="19"/>
      <c r="X14" s="19"/>
      <c r="Y14" s="19"/>
      <c r="Z14" s="19"/>
      <c r="AA14" s="19"/>
      <c r="AB14" s="19"/>
      <c r="AC14" s="19"/>
      <c r="AD14" s="19"/>
      <c r="AE14" s="19"/>
      <c r="AF14" s="19"/>
      <c r="AG14" s="19"/>
      <c r="AH14" s="19"/>
      <c r="AI14" s="19"/>
      <c r="AJ14" s="19"/>
      <c r="AK14" s="19"/>
    </row>
    <row r="15" hidden="1">
      <c r="A15" s="23"/>
      <c r="B15" s="23"/>
      <c r="C15" s="23"/>
      <c r="D15" s="23"/>
      <c r="E15" s="23"/>
      <c r="F15" s="23"/>
      <c r="G15" s="34" t="s">
        <v>239</v>
      </c>
      <c r="H15" s="15" t="str">
        <f t="shared" si="1"/>
        <v>https://youtube.com/embed/z0JpdWvpsM8</v>
      </c>
      <c r="I15" s="15" t="s">
        <v>240</v>
      </c>
      <c r="J15" s="18"/>
      <c r="K15" s="17" t="s">
        <v>114</v>
      </c>
      <c r="L15" s="18"/>
      <c r="M15" s="18"/>
      <c r="N15" s="18"/>
      <c r="O15" s="18"/>
      <c r="P15" s="18"/>
      <c r="Q15" s="19"/>
      <c r="R15" s="21"/>
      <c r="S15" s="21"/>
      <c r="T15" s="19"/>
      <c r="U15" s="19"/>
      <c r="V15" s="19"/>
      <c r="W15" s="19"/>
      <c r="X15" s="19"/>
      <c r="Y15" s="19"/>
      <c r="Z15" s="19"/>
      <c r="AA15" s="19"/>
      <c r="AB15" s="19"/>
      <c r="AC15" s="19"/>
      <c r="AD15" s="19"/>
      <c r="AE15" s="19"/>
      <c r="AF15" s="19"/>
      <c r="AG15" s="19"/>
      <c r="AH15" s="19"/>
      <c r="AI15" s="19"/>
      <c r="AJ15" s="19"/>
      <c r="AK15" s="19"/>
    </row>
    <row r="16" hidden="1">
      <c r="A16" s="23"/>
      <c r="B16" s="23"/>
      <c r="C16" s="23"/>
      <c r="D16" s="23"/>
      <c r="E16" s="23"/>
      <c r="F16" s="23"/>
      <c r="G16" s="34" t="s">
        <v>242</v>
      </c>
      <c r="H16" s="15" t="str">
        <f t="shared" si="1"/>
        <v>https://youtube.com/embed/jpXPolJzulY</v>
      </c>
      <c r="I16" s="15" t="s">
        <v>243</v>
      </c>
      <c r="J16" s="18"/>
      <c r="K16" s="17" t="s">
        <v>114</v>
      </c>
      <c r="L16" s="18"/>
      <c r="M16" s="18"/>
      <c r="N16" s="18"/>
      <c r="O16" s="18"/>
      <c r="P16" s="18"/>
      <c r="Q16" s="19"/>
      <c r="R16" s="21"/>
      <c r="S16" s="21"/>
      <c r="T16" s="19"/>
      <c r="U16" s="19"/>
      <c r="V16" s="19"/>
      <c r="W16" s="19"/>
      <c r="X16" s="19"/>
      <c r="Y16" s="19"/>
      <c r="Z16" s="19"/>
      <c r="AA16" s="19"/>
      <c r="AB16" s="19"/>
      <c r="AC16" s="19"/>
      <c r="AD16" s="19"/>
      <c r="AE16" s="19"/>
      <c r="AF16" s="19"/>
      <c r="AG16" s="19"/>
      <c r="AH16" s="19"/>
      <c r="AI16" s="19"/>
      <c r="AJ16" s="19"/>
      <c r="AK16" s="19"/>
    </row>
    <row r="17" hidden="1">
      <c r="A17" s="27"/>
      <c r="B17" s="27"/>
      <c r="C17" s="27"/>
      <c r="D17" s="27"/>
      <c r="E17" s="27"/>
      <c r="F17" s="27"/>
      <c r="G17" s="34" t="s">
        <v>245</v>
      </c>
      <c r="H17" s="15" t="str">
        <f t="shared" si="1"/>
        <v>https://youtube.com/embed/wAlBvkZn5Jg</v>
      </c>
      <c r="I17" s="15" t="s">
        <v>247</v>
      </c>
      <c r="J17" s="18"/>
      <c r="K17" s="17" t="s">
        <v>114</v>
      </c>
      <c r="L17" s="18"/>
      <c r="M17" s="18"/>
      <c r="N17" s="18"/>
      <c r="O17" s="18"/>
      <c r="P17" s="18"/>
      <c r="Q17" s="19"/>
      <c r="R17" s="21"/>
      <c r="S17" s="21"/>
      <c r="T17" s="19"/>
      <c r="U17" s="19"/>
      <c r="V17" s="19"/>
      <c r="W17" s="19"/>
      <c r="X17" s="19"/>
      <c r="Y17" s="19"/>
      <c r="Z17" s="19"/>
      <c r="AA17" s="19"/>
      <c r="AB17" s="19"/>
      <c r="AC17" s="19"/>
      <c r="AD17" s="19"/>
      <c r="AE17" s="19"/>
      <c r="AF17" s="19"/>
      <c r="AG17" s="19"/>
      <c r="AH17" s="19"/>
      <c r="AI17" s="19"/>
      <c r="AJ17" s="19"/>
      <c r="AK17" s="19"/>
    </row>
    <row r="18" hidden="1">
      <c r="A18" s="50" t="s">
        <v>256</v>
      </c>
      <c r="B18" s="26" t="str">
        <f>TRIM(MID(A18, SEARCH("- ", A18) + 2, LEN(A18)))
</f>
        <v>GESTIÓN DE PROVEEDORES EN MINERÍA</v>
      </c>
      <c r="C18" s="13" t="s">
        <v>77</v>
      </c>
      <c r="D18" s="13"/>
      <c r="E18" s="13" t="s">
        <v>63</v>
      </c>
      <c r="F18" s="13" t="s">
        <v>77</v>
      </c>
      <c r="G18" s="34" t="s">
        <v>258</v>
      </c>
      <c r="H18" s="15" t="str">
        <f t="shared" si="1"/>
        <v>https://youtube.com/embed/ezlES8BVzMo</v>
      </c>
      <c r="I18" s="15" t="s">
        <v>260</v>
      </c>
      <c r="J18" s="17" t="s">
        <v>170</v>
      </c>
      <c r="K18" s="17" t="s">
        <v>263</v>
      </c>
      <c r="L18" s="56" t="str">
        <f>"COMIENZA DICIENDO QUE ES EL RESUMEN DEL CURSO " &amp; B18 &amp; " DE EDUMIN, LUEGO HAZ EL RESUMEN Y FINALIZA INVITANDO A VER EL RESTO DE RECURSOS DE LAS ZONAS DE EDUMIN."</f>
        <v>COMIENZA DICIENDO QUE ES EL RESUMEN DEL CURSO GESTIÓN DE PROVEEDORES EN MINERÍA DE EDUMIN, LUEGO HAZ EL RESUMEN Y FINALIZA INVITANDO A VER EL RESTO DE RECURSOS DE LAS ZONAS DE EDUMIN.</v>
      </c>
      <c r="M18" s="18" t="s">
        <v>164</v>
      </c>
      <c r="N18" s="18" t="s">
        <v>120</v>
      </c>
      <c r="O18" s="18" t="s">
        <v>165</v>
      </c>
      <c r="P18" s="18">
        <v>30.0</v>
      </c>
      <c r="Q18" s="19"/>
      <c r="R18" s="21" t="s">
        <v>122</v>
      </c>
      <c r="S18" s="21" t="s">
        <v>124</v>
      </c>
      <c r="T18" s="19"/>
      <c r="U18" s="19"/>
      <c r="V18" s="19"/>
      <c r="W18" s="19"/>
      <c r="X18" s="19"/>
      <c r="Y18" s="19"/>
      <c r="Z18" s="19"/>
      <c r="AA18" s="19"/>
      <c r="AB18" s="19"/>
      <c r="AC18" s="19"/>
      <c r="AD18" s="19"/>
      <c r="AE18" s="19"/>
      <c r="AF18" s="19"/>
      <c r="AG18" s="19"/>
      <c r="AH18" s="19"/>
      <c r="AI18" s="19"/>
      <c r="AJ18" s="19"/>
      <c r="AK18" s="19"/>
    </row>
    <row r="19" hidden="1">
      <c r="A19" s="23"/>
      <c r="B19" s="23"/>
      <c r="C19" s="23"/>
      <c r="D19" s="23"/>
      <c r="E19" s="23"/>
      <c r="F19" s="23"/>
      <c r="G19" s="34" t="s">
        <v>266</v>
      </c>
      <c r="H19" s="15" t="str">
        <f t="shared" si="1"/>
        <v>https://youtube.com/embed/InTwibl_aG8</v>
      </c>
      <c r="I19" s="15" t="s">
        <v>267</v>
      </c>
      <c r="J19" s="17" t="s">
        <v>185</v>
      </c>
      <c r="K19" s="17" t="s">
        <v>263</v>
      </c>
      <c r="L19" s="37"/>
      <c r="M19" s="18"/>
      <c r="N19" s="18"/>
      <c r="O19" s="18"/>
      <c r="P19" s="18"/>
      <c r="Q19" s="19"/>
      <c r="R19" s="21"/>
      <c r="S19" s="21"/>
      <c r="T19" s="19"/>
      <c r="U19" s="19"/>
      <c r="V19" s="19"/>
      <c r="W19" s="19"/>
      <c r="X19" s="19"/>
      <c r="Y19" s="19"/>
      <c r="Z19" s="19"/>
      <c r="AA19" s="19"/>
      <c r="AB19" s="19"/>
      <c r="AC19" s="19"/>
      <c r="AD19" s="19"/>
      <c r="AE19" s="19"/>
      <c r="AF19" s="19"/>
      <c r="AG19" s="19"/>
      <c r="AH19" s="19"/>
      <c r="AI19" s="19"/>
      <c r="AJ19" s="19"/>
      <c r="AK19" s="19"/>
    </row>
    <row r="20" hidden="1">
      <c r="A20" s="23"/>
      <c r="B20" s="23"/>
      <c r="C20" s="23"/>
      <c r="D20" s="23"/>
      <c r="E20" s="23"/>
      <c r="F20" s="23"/>
      <c r="G20" s="34" t="s">
        <v>271</v>
      </c>
      <c r="H20" s="15" t="str">
        <f t="shared" si="1"/>
        <v>https://youtube.com/embed/uGZhhP7DREQ</v>
      </c>
      <c r="I20" s="15" t="s">
        <v>272</v>
      </c>
      <c r="J20" s="17" t="s">
        <v>192</v>
      </c>
      <c r="K20" s="17" t="s">
        <v>263</v>
      </c>
      <c r="L20" s="37"/>
      <c r="M20" s="18"/>
      <c r="N20" s="18"/>
      <c r="O20" s="18"/>
      <c r="P20" s="18"/>
      <c r="Q20" s="19"/>
      <c r="R20" s="21"/>
      <c r="S20" s="21"/>
      <c r="T20" s="19"/>
      <c r="U20" s="19"/>
      <c r="V20" s="19"/>
      <c r="W20" s="19"/>
      <c r="X20" s="19"/>
      <c r="Y20" s="19"/>
      <c r="Z20" s="19"/>
      <c r="AA20" s="19"/>
      <c r="AB20" s="19"/>
      <c r="AC20" s="19"/>
      <c r="AD20" s="19"/>
      <c r="AE20" s="19"/>
      <c r="AF20" s="19"/>
      <c r="AG20" s="19"/>
      <c r="AH20" s="19"/>
      <c r="AI20" s="19"/>
      <c r="AJ20" s="19"/>
      <c r="AK20" s="19"/>
    </row>
    <row r="21" hidden="1">
      <c r="A21" s="27"/>
      <c r="B21" s="27"/>
      <c r="C21" s="27"/>
      <c r="D21" s="27"/>
      <c r="E21" s="27"/>
      <c r="F21" s="27"/>
      <c r="G21" s="34" t="s">
        <v>275</v>
      </c>
      <c r="H21" s="15" t="str">
        <f t="shared" si="1"/>
        <v>https://youtube.com/embed/uel312Qq5hM</v>
      </c>
      <c r="I21" s="15" t="s">
        <v>276</v>
      </c>
      <c r="J21" s="17" t="s">
        <v>212</v>
      </c>
      <c r="K21" s="17" t="s">
        <v>263</v>
      </c>
      <c r="L21" s="37"/>
      <c r="M21" s="18"/>
      <c r="N21" s="18"/>
      <c r="O21" s="18"/>
      <c r="P21" s="18"/>
      <c r="Q21" s="19"/>
      <c r="R21" s="21"/>
      <c r="S21" s="21"/>
      <c r="T21" s="19"/>
      <c r="U21" s="19"/>
      <c r="V21" s="19"/>
      <c r="W21" s="19"/>
      <c r="X21" s="19"/>
      <c r="Y21" s="19"/>
      <c r="Z21" s="19"/>
      <c r="AA21" s="19"/>
      <c r="AB21" s="19"/>
      <c r="AC21" s="19"/>
      <c r="AD21" s="19"/>
      <c r="AE21" s="19"/>
      <c r="AF21" s="19"/>
      <c r="AG21" s="19"/>
      <c r="AH21" s="19"/>
      <c r="AI21" s="19"/>
      <c r="AJ21" s="19"/>
      <c r="AK21" s="19"/>
    </row>
    <row r="22" hidden="1">
      <c r="A22" s="50" t="s">
        <v>279</v>
      </c>
      <c r="B22" s="26" t="str">
        <f>TRIM(MID(A22, SEARCH("- ", A22) + 2, LEN(A22)))
</f>
        <v>CONTROL DE COSTOS EN ALMACENES MINEROS</v>
      </c>
      <c r="C22" s="13" t="s">
        <v>77</v>
      </c>
      <c r="D22" s="13"/>
      <c r="E22" s="13" t="s">
        <v>63</v>
      </c>
      <c r="F22" s="13" t="s">
        <v>77</v>
      </c>
      <c r="G22" s="34" t="s">
        <v>284</v>
      </c>
      <c r="H22" s="15" t="str">
        <f t="shared" si="1"/>
        <v>https://www.youtube.com/embed/UXUGUUqg5P4</v>
      </c>
      <c r="I22" s="15" t="s">
        <v>286</v>
      </c>
      <c r="J22" s="17" t="s">
        <v>170</v>
      </c>
      <c r="K22" s="17" t="s">
        <v>263</v>
      </c>
      <c r="L22" s="56" t="str">
        <f>"COMIENZA DICIENDO QUE ES EL RESUMEN DEL CURSO " &amp; B22 &amp; " DE EDUMIN, LUEGO HAZ EL RESUMEN Y FINALIZA INVITANDO A VER EL RESTO DE RECURSOS DE LAS ZONAS DE EDUMIN."</f>
        <v>COMIENZA DICIENDO QUE ES EL RESUMEN DEL CURSO CONTROL DE COSTOS EN ALMACENES MINEROS DE EDUMIN, LUEGO HAZ EL RESUMEN Y FINALIZA INVITANDO A VER EL RESTO DE RECURSOS DE LAS ZONAS DE EDUMIN.</v>
      </c>
      <c r="M22" s="18" t="s">
        <v>117</v>
      </c>
      <c r="N22" s="18" t="s">
        <v>118</v>
      </c>
      <c r="O22" s="18" t="s">
        <v>120</v>
      </c>
      <c r="P22" s="18">
        <v>30.0</v>
      </c>
      <c r="Q22" s="19"/>
      <c r="R22" s="21" t="s">
        <v>122</v>
      </c>
      <c r="S22" s="21" t="s">
        <v>124</v>
      </c>
      <c r="T22" s="19"/>
      <c r="U22" s="19"/>
      <c r="V22" s="19"/>
      <c r="W22" s="19"/>
      <c r="X22" s="19"/>
      <c r="Y22" s="19"/>
      <c r="Z22" s="19"/>
      <c r="AA22" s="19"/>
      <c r="AB22" s="19"/>
      <c r="AC22" s="19"/>
      <c r="AD22" s="19"/>
      <c r="AE22" s="19"/>
      <c r="AF22" s="19"/>
      <c r="AG22" s="19"/>
      <c r="AH22" s="19"/>
      <c r="AI22" s="19"/>
      <c r="AJ22" s="19"/>
      <c r="AK22" s="19"/>
    </row>
    <row r="23" hidden="1">
      <c r="A23" s="23"/>
      <c r="B23" s="23"/>
      <c r="C23" s="23"/>
      <c r="D23" s="23"/>
      <c r="E23" s="23"/>
      <c r="F23" s="23"/>
      <c r="G23" s="57" t="s">
        <v>290</v>
      </c>
      <c r="H23" s="15" t="str">
        <f t="shared" si="1"/>
        <v>https://www.youtube.com/embed/_MiGhWoqWqY</v>
      </c>
      <c r="I23" s="15" t="s">
        <v>293</v>
      </c>
      <c r="J23" s="17" t="s">
        <v>185</v>
      </c>
      <c r="K23" s="17" t="s">
        <v>263</v>
      </c>
      <c r="L23" s="37"/>
      <c r="M23" s="18"/>
      <c r="N23" s="18"/>
      <c r="O23" s="18"/>
      <c r="P23" s="18"/>
      <c r="Q23" s="19"/>
      <c r="R23" s="21"/>
      <c r="S23" s="21"/>
      <c r="T23" s="19"/>
      <c r="U23" s="19"/>
      <c r="V23" s="19"/>
      <c r="W23" s="19"/>
      <c r="X23" s="19"/>
      <c r="Y23" s="19"/>
      <c r="Z23" s="19"/>
      <c r="AA23" s="19"/>
      <c r="AB23" s="19"/>
      <c r="AC23" s="19"/>
      <c r="AD23" s="19"/>
      <c r="AE23" s="19"/>
      <c r="AF23" s="19"/>
      <c r="AG23" s="19"/>
      <c r="AH23" s="19"/>
      <c r="AI23" s="19"/>
      <c r="AJ23" s="19"/>
      <c r="AK23" s="19"/>
    </row>
    <row r="24" hidden="1">
      <c r="A24" s="23"/>
      <c r="B24" s="23"/>
      <c r="C24" s="23"/>
      <c r="D24" s="23"/>
      <c r="E24" s="23"/>
      <c r="F24" s="23"/>
      <c r="G24" s="34" t="s">
        <v>295</v>
      </c>
      <c r="H24" s="15" t="str">
        <f t="shared" si="1"/>
        <v>https://www.youtube.com/embed/jl44NKscLu8</v>
      </c>
      <c r="I24" s="15" t="s">
        <v>298</v>
      </c>
      <c r="J24" s="17" t="s">
        <v>192</v>
      </c>
      <c r="K24" s="17" t="s">
        <v>263</v>
      </c>
      <c r="L24" s="37"/>
      <c r="M24" s="18"/>
      <c r="N24" s="18"/>
      <c r="O24" s="18"/>
      <c r="P24" s="18"/>
      <c r="Q24" s="19"/>
      <c r="R24" s="21"/>
      <c r="S24" s="21"/>
      <c r="T24" s="19"/>
      <c r="U24" s="19"/>
      <c r="V24" s="19"/>
      <c r="W24" s="19"/>
      <c r="X24" s="19"/>
      <c r="Y24" s="19"/>
      <c r="Z24" s="19"/>
      <c r="AA24" s="19"/>
      <c r="AB24" s="19"/>
      <c r="AC24" s="19"/>
      <c r="AD24" s="19"/>
      <c r="AE24" s="19"/>
      <c r="AF24" s="19"/>
      <c r="AG24" s="19"/>
      <c r="AH24" s="19"/>
      <c r="AI24" s="19"/>
      <c r="AJ24" s="19"/>
      <c r="AK24" s="19"/>
    </row>
    <row r="25" hidden="1">
      <c r="A25" s="27"/>
      <c r="B25" s="27"/>
      <c r="C25" s="27"/>
      <c r="D25" s="27"/>
      <c r="E25" s="27"/>
      <c r="F25" s="27"/>
      <c r="G25" s="34" t="s">
        <v>301</v>
      </c>
      <c r="H25" s="15" t="str">
        <f t="shared" si="1"/>
        <v>https://youtube.com/embed/jghOVERkJKw</v>
      </c>
      <c r="I25" s="15" t="s">
        <v>302</v>
      </c>
      <c r="J25" s="17" t="s">
        <v>212</v>
      </c>
      <c r="K25" s="17" t="s">
        <v>263</v>
      </c>
      <c r="L25" s="37"/>
      <c r="M25" s="18"/>
      <c r="N25" s="18"/>
      <c r="O25" s="18"/>
      <c r="P25" s="18"/>
      <c r="Q25" s="19"/>
      <c r="R25" s="21"/>
      <c r="S25" s="21"/>
      <c r="T25" s="19"/>
      <c r="U25" s="19"/>
      <c r="V25" s="19"/>
      <c r="W25" s="19"/>
      <c r="X25" s="19"/>
      <c r="Y25" s="19"/>
      <c r="Z25" s="19"/>
      <c r="AA25" s="19"/>
      <c r="AB25" s="19"/>
      <c r="AC25" s="19"/>
      <c r="AD25" s="19"/>
      <c r="AE25" s="19"/>
      <c r="AF25" s="19"/>
      <c r="AG25" s="19"/>
      <c r="AH25" s="19"/>
      <c r="AI25" s="19"/>
      <c r="AJ25" s="19"/>
      <c r="AK25" s="19"/>
    </row>
    <row r="26" hidden="1">
      <c r="A26" s="50" t="s">
        <v>305</v>
      </c>
      <c r="B26" s="26" t="str">
        <f>TRIM(MID(A26, SEARCH("- ", A26) + 2, LEN(A26)))
</f>
        <v>LOGÍSTICA Y DISTRIBUCIÓN EN LA INDUSTRIA Y MINERÍA</v>
      </c>
      <c r="C26" s="13" t="s">
        <v>77</v>
      </c>
      <c r="D26" s="13"/>
      <c r="E26" s="13" t="s">
        <v>63</v>
      </c>
      <c r="F26" s="13" t="s">
        <v>77</v>
      </c>
      <c r="G26" s="34" t="s">
        <v>308</v>
      </c>
      <c r="H26" s="15" t="str">
        <f t="shared" si="1"/>
        <v>https://www.youtube.com/embed/07FOszC5N2U</v>
      </c>
      <c r="I26" s="15" t="s">
        <v>309</v>
      </c>
      <c r="J26" s="17" t="s">
        <v>170</v>
      </c>
      <c r="K26" s="17" t="s">
        <v>263</v>
      </c>
      <c r="L26" s="56" t="str">
        <f>"COMIENZA DICIENDO QUE ES EL RESUMEN DEL CURSO " &amp; B26 &amp; " DE EDUMIN, LUEGO HAZ EL RESUMEN Y FINALIZA INVITANDO A VER EL RESTO DE RECURSOS DE LAS ZONAS DE EDUMIN."</f>
        <v>COMIENZA DICIENDO QUE ES EL RESUMEN DEL CURSO LOGÍSTICA Y DISTRIBUCIÓN EN LA INDUSTRIA Y MINERÍA DE EDUMIN, LUEGO HAZ EL RESUMEN Y FINALIZA INVITANDO A VER EL RESTO DE RECURSOS DE LAS ZONAS DE EDUMIN.</v>
      </c>
      <c r="M26" s="18" t="s">
        <v>164</v>
      </c>
      <c r="N26" s="18" t="s">
        <v>120</v>
      </c>
      <c r="O26" s="18" t="s">
        <v>165</v>
      </c>
      <c r="P26" s="18">
        <v>30.0</v>
      </c>
      <c r="Q26" s="19"/>
      <c r="R26" s="21" t="s">
        <v>122</v>
      </c>
      <c r="S26" s="21" t="s">
        <v>124</v>
      </c>
      <c r="T26" s="19"/>
      <c r="U26" s="19"/>
      <c r="V26" s="19"/>
      <c r="W26" s="19"/>
      <c r="X26" s="19"/>
      <c r="Y26" s="19"/>
      <c r="Z26" s="19"/>
      <c r="AA26" s="19"/>
      <c r="AB26" s="19"/>
      <c r="AC26" s="19"/>
      <c r="AD26" s="19"/>
      <c r="AE26" s="19"/>
      <c r="AF26" s="19"/>
      <c r="AG26" s="19"/>
      <c r="AH26" s="19"/>
      <c r="AI26" s="19"/>
      <c r="AJ26" s="19"/>
      <c r="AK26" s="19"/>
    </row>
    <row r="27" hidden="1">
      <c r="A27" s="23"/>
      <c r="B27" s="23"/>
      <c r="C27" s="23"/>
      <c r="D27" s="23"/>
      <c r="E27" s="23"/>
      <c r="F27" s="23"/>
      <c r="G27" s="57" t="s">
        <v>311</v>
      </c>
      <c r="H27" s="15" t="str">
        <f t="shared" si="1"/>
        <v>https://www.youtube.com/embed/6Ms87Rq4c30</v>
      </c>
      <c r="I27" s="15" t="s">
        <v>312</v>
      </c>
      <c r="J27" s="17" t="s">
        <v>185</v>
      </c>
      <c r="K27" s="17" t="s">
        <v>263</v>
      </c>
      <c r="L27" s="37"/>
      <c r="M27" s="18"/>
      <c r="N27" s="18"/>
      <c r="O27" s="18"/>
      <c r="P27" s="18"/>
      <c r="Q27" s="19"/>
      <c r="R27" s="21"/>
      <c r="S27" s="21"/>
      <c r="T27" s="19"/>
      <c r="U27" s="19"/>
      <c r="V27" s="19"/>
      <c r="W27" s="19"/>
      <c r="X27" s="19"/>
      <c r="Y27" s="19"/>
      <c r="Z27" s="19"/>
      <c r="AA27" s="19"/>
      <c r="AB27" s="19"/>
      <c r="AC27" s="19"/>
      <c r="AD27" s="19"/>
      <c r="AE27" s="19"/>
      <c r="AF27" s="19"/>
      <c r="AG27" s="19"/>
      <c r="AH27" s="19"/>
      <c r="AI27" s="19"/>
      <c r="AJ27" s="19"/>
      <c r="AK27" s="19"/>
    </row>
    <row r="28" hidden="1">
      <c r="A28" s="23"/>
      <c r="B28" s="23"/>
      <c r="C28" s="23"/>
      <c r="D28" s="23"/>
      <c r="E28" s="23"/>
      <c r="F28" s="23"/>
      <c r="G28" s="34" t="s">
        <v>314</v>
      </c>
      <c r="H28" s="15" t="str">
        <f t="shared" si="1"/>
        <v>https://www.youtube.com/embed/tE9ceLJvHwU</v>
      </c>
      <c r="I28" s="15" t="s">
        <v>315</v>
      </c>
      <c r="J28" s="17" t="s">
        <v>192</v>
      </c>
      <c r="K28" s="17" t="s">
        <v>263</v>
      </c>
      <c r="L28" s="37"/>
      <c r="M28" s="18"/>
      <c r="N28" s="18"/>
      <c r="O28" s="18"/>
      <c r="P28" s="18"/>
      <c r="Q28" s="19"/>
      <c r="R28" s="21"/>
      <c r="S28" s="21"/>
      <c r="T28" s="19"/>
      <c r="U28" s="19"/>
      <c r="V28" s="19"/>
      <c r="W28" s="19"/>
      <c r="X28" s="19"/>
      <c r="Y28" s="19"/>
      <c r="Z28" s="19"/>
      <c r="AA28" s="19"/>
      <c r="AB28" s="19"/>
      <c r="AC28" s="19"/>
      <c r="AD28" s="19"/>
      <c r="AE28" s="19"/>
      <c r="AF28" s="19"/>
      <c r="AG28" s="19"/>
      <c r="AH28" s="19"/>
      <c r="AI28" s="19"/>
      <c r="AJ28" s="19"/>
      <c r="AK28" s="19"/>
    </row>
    <row r="29" hidden="1">
      <c r="A29" s="27"/>
      <c r="B29" s="27"/>
      <c r="C29" s="27"/>
      <c r="D29" s="27"/>
      <c r="E29" s="27"/>
      <c r="F29" s="27"/>
      <c r="G29" s="34" t="s">
        <v>318</v>
      </c>
      <c r="H29" s="15" t="str">
        <f t="shared" si="1"/>
        <v>https://youtube.com/embed/mNqKgdl6Tzs</v>
      </c>
      <c r="I29" s="15" t="s">
        <v>319</v>
      </c>
      <c r="J29" s="17" t="s">
        <v>212</v>
      </c>
      <c r="K29" s="17" t="s">
        <v>263</v>
      </c>
      <c r="L29" s="37"/>
      <c r="M29" s="18"/>
      <c r="N29" s="18"/>
      <c r="O29" s="18"/>
      <c r="P29" s="18"/>
      <c r="Q29" s="19"/>
      <c r="R29" s="21"/>
      <c r="S29" s="21"/>
      <c r="T29" s="19"/>
      <c r="U29" s="19"/>
      <c r="V29" s="19"/>
      <c r="W29" s="19"/>
      <c r="X29" s="19"/>
      <c r="Y29" s="19"/>
      <c r="Z29" s="19"/>
      <c r="AA29" s="19"/>
      <c r="AB29" s="19"/>
      <c r="AC29" s="19"/>
      <c r="AD29" s="19"/>
      <c r="AE29" s="19"/>
      <c r="AF29" s="19"/>
      <c r="AG29" s="19"/>
      <c r="AH29" s="19"/>
      <c r="AI29" s="19"/>
      <c r="AJ29" s="19"/>
      <c r="AK29" s="19"/>
    </row>
    <row r="30" hidden="1">
      <c r="A30" s="50" t="s">
        <v>321</v>
      </c>
      <c r="B30" s="12" t="str">
        <f>TRIM(MID(A30, SEARCH("- ", A30) + 2, LEN(A30)))
</f>
        <v>CONTRATOS EN LA INDUSTRIA MINERA</v>
      </c>
      <c r="C30" s="13" t="s">
        <v>77</v>
      </c>
      <c r="D30" s="13" t="s">
        <v>77</v>
      </c>
      <c r="E30" s="13" t="s">
        <v>235</v>
      </c>
      <c r="F30" s="13" t="s">
        <v>77</v>
      </c>
      <c r="G30" s="34" t="s">
        <v>323</v>
      </c>
      <c r="H30" s="15" t="str">
        <f t="shared" si="1"/>
        <v>https://youtube.com/embed/rmg-UHlIzoA</v>
      </c>
      <c r="I30" s="15" t="s">
        <v>324</v>
      </c>
      <c r="J30" s="16" t="str">
        <f>"COMIENZA DICIENDO QUE ES EL RESUMEN DEL CURSO " &amp; B30 &amp; " DE EDUMIN, LUEGO HAZ EL RESUMEN Y FINALIZA INVITANDO A VER EL RESTO DE RECURSOS DE LAS ZONAS DE EDUMIN."</f>
        <v>COMIENZA DICIENDO QUE ES EL RESUMEN DEL CURSO CONTRATOS EN LA INDUSTRIA MINERA DE EDUMIN, LUEGO HAZ EL RESUMEN Y FINALIZA INVITANDO A VER EL RESTO DE RECURSOS DE LAS ZONAS DE EDUMIN.</v>
      </c>
      <c r="K30" s="17" t="s">
        <v>114</v>
      </c>
      <c r="L30" s="18"/>
      <c r="M30" s="18" t="s">
        <v>164</v>
      </c>
      <c r="N30" s="18" t="s">
        <v>120</v>
      </c>
      <c r="O30" s="18" t="s">
        <v>165</v>
      </c>
      <c r="P30" s="18">
        <v>30.0</v>
      </c>
      <c r="Q30" s="19"/>
      <c r="R30" s="21" t="s">
        <v>122</v>
      </c>
      <c r="S30" s="21" t="s">
        <v>124</v>
      </c>
      <c r="T30" s="19"/>
      <c r="U30" s="19"/>
      <c r="V30" s="19"/>
      <c r="W30" s="19"/>
      <c r="X30" s="19"/>
      <c r="Y30" s="19"/>
      <c r="Z30" s="19"/>
      <c r="AA30" s="19"/>
      <c r="AB30" s="19"/>
      <c r="AC30" s="19"/>
      <c r="AD30" s="19"/>
      <c r="AE30" s="19"/>
      <c r="AF30" s="19"/>
      <c r="AG30" s="19"/>
      <c r="AH30" s="19"/>
      <c r="AI30" s="19"/>
      <c r="AJ30" s="19"/>
      <c r="AK30" s="19"/>
    </row>
    <row r="31" hidden="1">
      <c r="A31" s="23"/>
      <c r="B31" s="23"/>
      <c r="C31" s="23"/>
      <c r="D31" s="23"/>
      <c r="E31" s="23"/>
      <c r="F31" s="23"/>
      <c r="G31" s="34" t="s">
        <v>326</v>
      </c>
      <c r="H31" s="15" t="str">
        <f t="shared" si="1"/>
        <v>https://youtube.com/embed/9NsuHQy0QC8</v>
      </c>
      <c r="I31" s="15" t="s">
        <v>327</v>
      </c>
      <c r="J31" s="18"/>
      <c r="K31" s="17" t="s">
        <v>114</v>
      </c>
      <c r="L31" s="18"/>
      <c r="M31" s="18"/>
      <c r="N31" s="18"/>
      <c r="O31" s="18"/>
      <c r="P31" s="18"/>
      <c r="Q31" s="19"/>
      <c r="R31" s="21"/>
      <c r="S31" s="21"/>
      <c r="T31" s="19"/>
      <c r="U31" s="19"/>
      <c r="V31" s="19"/>
      <c r="W31" s="19"/>
      <c r="X31" s="19"/>
      <c r="Y31" s="19"/>
      <c r="Z31" s="19"/>
      <c r="AA31" s="19"/>
      <c r="AB31" s="19"/>
      <c r="AC31" s="19"/>
      <c r="AD31" s="19"/>
      <c r="AE31" s="19"/>
      <c r="AF31" s="19"/>
      <c r="AG31" s="19"/>
      <c r="AH31" s="19"/>
      <c r="AI31" s="19"/>
      <c r="AJ31" s="19"/>
      <c r="AK31" s="19"/>
    </row>
    <row r="32" hidden="1">
      <c r="A32" s="23"/>
      <c r="B32" s="23"/>
      <c r="C32" s="23"/>
      <c r="D32" s="23"/>
      <c r="E32" s="23"/>
      <c r="F32" s="23"/>
      <c r="G32" s="34" t="s">
        <v>328</v>
      </c>
      <c r="H32" s="15" t="str">
        <f t="shared" si="1"/>
        <v>https://youtube.com/embed/aHoENZaJGAw</v>
      </c>
      <c r="I32" s="15" t="s">
        <v>329</v>
      </c>
      <c r="J32" s="18"/>
      <c r="K32" s="17" t="s">
        <v>114</v>
      </c>
      <c r="L32" s="18"/>
      <c r="M32" s="18"/>
      <c r="N32" s="18"/>
      <c r="O32" s="18"/>
      <c r="P32" s="18"/>
      <c r="Q32" s="19"/>
      <c r="R32" s="21"/>
      <c r="S32" s="21"/>
      <c r="T32" s="19"/>
      <c r="U32" s="19"/>
      <c r="V32" s="19"/>
      <c r="W32" s="19"/>
      <c r="X32" s="19"/>
      <c r="Y32" s="19"/>
      <c r="Z32" s="19"/>
      <c r="AA32" s="19"/>
      <c r="AB32" s="19"/>
      <c r="AC32" s="19"/>
      <c r="AD32" s="19"/>
      <c r="AE32" s="19"/>
      <c r="AF32" s="19"/>
      <c r="AG32" s="19"/>
      <c r="AH32" s="19"/>
      <c r="AI32" s="19"/>
      <c r="AJ32" s="19"/>
      <c r="AK32" s="19"/>
    </row>
    <row r="33" hidden="1">
      <c r="A33" s="27"/>
      <c r="B33" s="27"/>
      <c r="C33" s="27"/>
      <c r="D33" s="27"/>
      <c r="E33" s="27"/>
      <c r="F33" s="27"/>
      <c r="G33" s="34" t="s">
        <v>331</v>
      </c>
      <c r="H33" s="15" t="str">
        <f t="shared" si="1"/>
        <v>https://youtube.com/embed/Ti4OsD_8CUA</v>
      </c>
      <c r="I33" s="15" t="s">
        <v>332</v>
      </c>
      <c r="J33" s="18"/>
      <c r="K33" s="17" t="s">
        <v>114</v>
      </c>
      <c r="L33" s="18"/>
      <c r="M33" s="18"/>
      <c r="N33" s="18"/>
      <c r="O33" s="18"/>
      <c r="P33" s="18"/>
      <c r="Q33" s="19"/>
      <c r="R33" s="21"/>
      <c r="S33" s="21"/>
      <c r="T33" s="19"/>
      <c r="U33" s="19"/>
      <c r="V33" s="19"/>
      <c r="W33" s="19"/>
      <c r="X33" s="19"/>
      <c r="Y33" s="19"/>
      <c r="Z33" s="19"/>
      <c r="AA33" s="19"/>
      <c r="AB33" s="19"/>
      <c r="AC33" s="19"/>
      <c r="AD33" s="19"/>
      <c r="AE33" s="19"/>
      <c r="AF33" s="19"/>
      <c r="AG33" s="19"/>
      <c r="AH33" s="19"/>
      <c r="AI33" s="19"/>
      <c r="AJ33" s="19"/>
      <c r="AK33" s="19"/>
    </row>
    <row r="34" hidden="1">
      <c r="A34" s="11" t="s">
        <v>334</v>
      </c>
      <c r="B34" s="12" t="str">
        <f>TRIM(MID(A34, SEARCH("- ", A34) + 2, LEN(A34)))
</f>
        <v>DERECHOS HUMANOS EN MINERÍA</v>
      </c>
      <c r="C34" s="13" t="s">
        <v>77</v>
      </c>
      <c r="D34" s="13" t="s">
        <v>77</v>
      </c>
      <c r="E34" s="13" t="s">
        <v>60</v>
      </c>
      <c r="F34" s="13" t="s">
        <v>77</v>
      </c>
      <c r="G34" s="34" t="s">
        <v>336</v>
      </c>
      <c r="H34" s="15" t="str">
        <f t="shared" si="1"/>
        <v>https://youtube.com/embed/ozB-gIAstz8</v>
      </c>
      <c r="I34" s="15" t="s">
        <v>337</v>
      </c>
      <c r="J34" s="16" t="str">
        <f>"COMIENZA DICIENDO QUE ES EL RESUMEN DEL CURSO " &amp; B34 &amp; " DE EDUMIN, LUEGO HAZ EL RESUMEN Y FINALIZA INVITANDO A VER EL RESTO DE RECURSOS DE LAS ZONAS DE EDUMIN."</f>
        <v>COMIENZA DICIENDO QUE ES EL RESUMEN DEL CURSO DERECHOS HUMANOS EN MINERÍA DE EDUMIN, LUEGO HAZ EL RESUMEN Y FINALIZA INVITANDO A VER EL RESTO DE RECURSOS DE LAS ZONAS DE EDUMIN.</v>
      </c>
      <c r="K34" s="17" t="s">
        <v>114</v>
      </c>
      <c r="L34" s="18"/>
      <c r="M34" s="18" t="s">
        <v>117</v>
      </c>
      <c r="N34" s="18" t="s">
        <v>118</v>
      </c>
      <c r="O34" s="18" t="s">
        <v>120</v>
      </c>
      <c r="P34" s="18">
        <v>30.0</v>
      </c>
      <c r="Q34" s="19"/>
      <c r="R34" s="21" t="s">
        <v>122</v>
      </c>
      <c r="S34" s="21" t="s">
        <v>124</v>
      </c>
      <c r="T34" s="19"/>
      <c r="U34" s="19"/>
      <c r="V34" s="19"/>
      <c r="W34" s="19"/>
      <c r="X34" s="19"/>
      <c r="Y34" s="19"/>
      <c r="Z34" s="19"/>
      <c r="AA34" s="19"/>
      <c r="AB34" s="19"/>
      <c r="AC34" s="19"/>
      <c r="AD34" s="19"/>
      <c r="AE34" s="19"/>
      <c r="AF34" s="19"/>
      <c r="AG34" s="19"/>
      <c r="AH34" s="19"/>
      <c r="AI34" s="19"/>
      <c r="AJ34" s="19"/>
      <c r="AK34" s="19"/>
    </row>
    <row r="35" hidden="1">
      <c r="A35" s="23"/>
      <c r="B35" s="23"/>
      <c r="C35" s="23"/>
      <c r="D35" s="23"/>
      <c r="E35" s="23"/>
      <c r="F35" s="23"/>
      <c r="G35" s="34" t="s">
        <v>339</v>
      </c>
      <c r="H35" s="15" t="str">
        <f t="shared" si="1"/>
        <v>https://youtube.com/embed/fyNAO5zb9sU</v>
      </c>
      <c r="I35" s="15" t="s">
        <v>340</v>
      </c>
      <c r="J35" s="18"/>
      <c r="K35" s="17" t="s">
        <v>114</v>
      </c>
      <c r="L35" s="18"/>
      <c r="M35" s="18"/>
      <c r="N35" s="18"/>
      <c r="O35" s="18"/>
      <c r="P35" s="18"/>
      <c r="Q35" s="19"/>
      <c r="R35" s="21"/>
      <c r="S35" s="21"/>
      <c r="T35" s="19"/>
      <c r="U35" s="19"/>
      <c r="V35" s="19"/>
      <c r="W35" s="19"/>
      <c r="X35" s="19"/>
      <c r="Y35" s="19"/>
      <c r="Z35" s="19"/>
      <c r="AA35" s="19"/>
      <c r="AB35" s="19"/>
      <c r="AC35" s="19"/>
      <c r="AD35" s="19"/>
      <c r="AE35" s="19"/>
      <c r="AF35" s="19"/>
      <c r="AG35" s="19"/>
      <c r="AH35" s="19"/>
      <c r="AI35" s="19"/>
      <c r="AJ35" s="19"/>
      <c r="AK35" s="19"/>
    </row>
    <row r="36" hidden="1">
      <c r="A36" s="23"/>
      <c r="B36" s="23"/>
      <c r="C36" s="23"/>
      <c r="D36" s="23"/>
      <c r="E36" s="23"/>
      <c r="F36" s="23"/>
      <c r="G36" s="34" t="s">
        <v>342</v>
      </c>
      <c r="H36" s="15" t="str">
        <f t="shared" si="1"/>
        <v>https://youtube.com/embed/b7dUQkR3am0</v>
      </c>
      <c r="I36" s="15" t="s">
        <v>343</v>
      </c>
      <c r="J36" s="18"/>
      <c r="K36" s="17" t="s">
        <v>114</v>
      </c>
      <c r="L36" s="18"/>
      <c r="M36" s="18"/>
      <c r="N36" s="18"/>
      <c r="O36" s="18"/>
      <c r="P36" s="18"/>
      <c r="Q36" s="19"/>
      <c r="R36" s="21"/>
      <c r="S36" s="21"/>
      <c r="T36" s="19"/>
      <c r="U36" s="19"/>
      <c r="V36" s="19"/>
      <c r="W36" s="19"/>
      <c r="X36" s="19"/>
      <c r="Y36" s="19"/>
      <c r="Z36" s="19"/>
      <c r="AA36" s="19"/>
      <c r="AB36" s="19"/>
      <c r="AC36" s="19"/>
      <c r="AD36" s="19"/>
      <c r="AE36" s="19"/>
      <c r="AF36" s="19"/>
      <c r="AG36" s="19"/>
      <c r="AH36" s="19"/>
      <c r="AI36" s="19"/>
      <c r="AJ36" s="19"/>
      <c r="AK36" s="19"/>
    </row>
    <row r="37" hidden="1">
      <c r="A37" s="27"/>
      <c r="B37" s="27"/>
      <c r="C37" s="27"/>
      <c r="D37" s="27"/>
      <c r="E37" s="27"/>
      <c r="F37" s="27"/>
      <c r="G37" s="34" t="s">
        <v>344</v>
      </c>
      <c r="H37" s="15" t="str">
        <f t="shared" si="1"/>
        <v>https://youtube.com/embed/nGgUIA2w3YI</v>
      </c>
      <c r="I37" s="15" t="s">
        <v>345</v>
      </c>
      <c r="J37" s="18"/>
      <c r="K37" s="17" t="s">
        <v>114</v>
      </c>
      <c r="L37" s="18"/>
      <c r="M37" s="18"/>
      <c r="N37" s="18"/>
      <c r="O37" s="18"/>
      <c r="P37" s="18"/>
      <c r="Q37" s="19"/>
      <c r="R37" s="21"/>
      <c r="S37" s="21"/>
      <c r="T37" s="19"/>
      <c r="U37" s="19"/>
      <c r="V37" s="19"/>
      <c r="W37" s="19"/>
      <c r="X37" s="19"/>
      <c r="Y37" s="19"/>
      <c r="Z37" s="19"/>
      <c r="AA37" s="19"/>
      <c r="AB37" s="19"/>
      <c r="AC37" s="19"/>
      <c r="AD37" s="19"/>
      <c r="AE37" s="19"/>
      <c r="AF37" s="19"/>
      <c r="AG37" s="19"/>
      <c r="AH37" s="19"/>
      <c r="AI37" s="19"/>
      <c r="AJ37" s="19"/>
      <c r="AK37" s="19"/>
    </row>
    <row r="38">
      <c r="A38" s="50" t="s">
        <v>347</v>
      </c>
      <c r="B38" s="26" t="str">
        <f>TRIM(MID(A38, SEARCH("- ", A38) + 2, LEN(A38)))
</f>
        <v>GESTIÓN DE TRABAJO EN ALTO RIESGO EN MINERÍA</v>
      </c>
      <c r="C38" s="13" t="s">
        <v>77</v>
      </c>
      <c r="D38" s="13" t="s">
        <v>77</v>
      </c>
      <c r="E38" s="13" t="s">
        <v>65</v>
      </c>
      <c r="F38" s="13" t="s">
        <v>77</v>
      </c>
      <c r="G38" s="34" t="s">
        <v>348</v>
      </c>
      <c r="H38" s="15" t="str">
        <f t="shared" si="1"/>
        <v>https://youtube.com/embed/OVUzg3BcNxs</v>
      </c>
      <c r="I38" s="15" t="s">
        <v>350</v>
      </c>
      <c r="J38" s="30" t="str">
        <f>"COMIENZA DICIENDO QUE ES EL RESUMEN DEL CURSO " &amp; B38 &amp; " DE EDUMIN, LUEGO HAZ EL RESUMEN Y FINALIZA INVITANDO A VER EL RESTO DE RECURSOS DE LAS ZONAS DE EDUMIN."</f>
        <v>COMIENZA DICIENDO QUE ES EL RESUMEN DEL CURSO GESTIÓN DE TRABAJO EN ALTO RIESGO EN MINERÍA DE EDUMIN, LUEGO HAZ EL RESUMEN Y FINALIZA INVITANDO A VER EL RESTO DE RECURSOS DE LAS ZONAS DE EDUMIN.</v>
      </c>
      <c r="K38" s="17" t="s">
        <v>114</v>
      </c>
      <c r="L38" s="18"/>
      <c r="M38" s="18" t="s">
        <v>164</v>
      </c>
      <c r="N38" s="18" t="s">
        <v>120</v>
      </c>
      <c r="O38" s="18" t="s">
        <v>165</v>
      </c>
      <c r="P38" s="18">
        <v>30.0</v>
      </c>
      <c r="Q38" s="19"/>
      <c r="R38" s="21" t="s">
        <v>122</v>
      </c>
      <c r="S38" s="21" t="s">
        <v>124</v>
      </c>
      <c r="T38" s="19"/>
      <c r="U38" s="19"/>
      <c r="V38" s="19"/>
      <c r="W38" s="19"/>
      <c r="X38" s="19"/>
      <c r="Y38" s="19"/>
      <c r="Z38" s="19"/>
      <c r="AA38" s="19"/>
      <c r="AB38" s="19"/>
      <c r="AC38" s="19"/>
      <c r="AD38" s="19"/>
      <c r="AE38" s="19"/>
      <c r="AF38" s="19"/>
      <c r="AG38" s="19"/>
      <c r="AH38" s="19"/>
      <c r="AI38" s="19"/>
      <c r="AJ38" s="19"/>
      <c r="AK38" s="19"/>
    </row>
    <row r="39">
      <c r="A39" s="23"/>
      <c r="B39" s="23"/>
      <c r="C39" s="23"/>
      <c r="D39" s="23"/>
      <c r="E39" s="23"/>
      <c r="F39" s="23"/>
      <c r="G39" s="34" t="s">
        <v>352</v>
      </c>
      <c r="H39" s="15" t="str">
        <f t="shared" si="1"/>
        <v>https://youtube.com/embed/z3OXjK4mn3M</v>
      </c>
      <c r="I39" s="15" t="s">
        <v>353</v>
      </c>
      <c r="J39" s="37"/>
      <c r="K39" s="17" t="s">
        <v>114</v>
      </c>
      <c r="L39" s="18"/>
      <c r="M39" s="18"/>
      <c r="N39" s="18"/>
      <c r="O39" s="18"/>
      <c r="P39" s="18"/>
      <c r="Q39" s="19"/>
      <c r="R39" s="21"/>
      <c r="S39" s="21"/>
      <c r="T39" s="19"/>
      <c r="U39" s="19"/>
      <c r="V39" s="19"/>
      <c r="W39" s="19"/>
      <c r="X39" s="19"/>
      <c r="Y39" s="19"/>
      <c r="Z39" s="19"/>
      <c r="AA39" s="19"/>
      <c r="AB39" s="19"/>
      <c r="AC39" s="19"/>
      <c r="AD39" s="19"/>
      <c r="AE39" s="19"/>
      <c r="AF39" s="19"/>
      <c r="AG39" s="19"/>
      <c r="AH39" s="19"/>
      <c r="AI39" s="19"/>
      <c r="AJ39" s="19"/>
      <c r="AK39" s="19"/>
    </row>
    <row r="40">
      <c r="A40" s="23"/>
      <c r="B40" s="23"/>
      <c r="C40" s="23"/>
      <c r="D40" s="23"/>
      <c r="E40" s="23"/>
      <c r="F40" s="23"/>
      <c r="G40" s="34" t="s">
        <v>354</v>
      </c>
      <c r="H40" s="15" t="str">
        <f t="shared" si="1"/>
        <v>https://youtube.com/embed/k7pYtlmoTgY</v>
      </c>
      <c r="I40" s="15" t="s">
        <v>356</v>
      </c>
      <c r="J40" s="37"/>
      <c r="K40" s="17" t="s">
        <v>114</v>
      </c>
      <c r="L40" s="18"/>
      <c r="M40" s="18"/>
      <c r="N40" s="18"/>
      <c r="O40" s="18"/>
      <c r="P40" s="18"/>
      <c r="Q40" s="19"/>
      <c r="R40" s="21"/>
      <c r="S40" s="21"/>
      <c r="T40" s="19"/>
      <c r="U40" s="19"/>
      <c r="V40" s="19"/>
      <c r="W40" s="19"/>
      <c r="X40" s="19"/>
      <c r="Y40" s="19"/>
      <c r="Z40" s="19"/>
      <c r="AA40" s="19"/>
      <c r="AB40" s="19"/>
      <c r="AC40" s="19"/>
      <c r="AD40" s="19"/>
      <c r="AE40" s="19"/>
      <c r="AF40" s="19"/>
      <c r="AG40" s="19"/>
      <c r="AH40" s="19"/>
      <c r="AI40" s="19"/>
      <c r="AJ40" s="19"/>
      <c r="AK40" s="19"/>
    </row>
    <row r="41">
      <c r="A41" s="27"/>
      <c r="B41" s="27"/>
      <c r="C41" s="27"/>
      <c r="D41" s="27"/>
      <c r="E41" s="27"/>
      <c r="F41" s="27"/>
      <c r="G41" s="34" t="s">
        <v>357</v>
      </c>
      <c r="H41" s="15" t="str">
        <f t="shared" si="1"/>
        <v>https://youtube.com/embed/1ngKQh_nKpA</v>
      </c>
      <c r="I41" s="15" t="s">
        <v>358</v>
      </c>
      <c r="J41" s="37"/>
      <c r="K41" s="17" t="s">
        <v>114</v>
      </c>
      <c r="L41" s="18"/>
      <c r="M41" s="18"/>
      <c r="N41" s="18"/>
      <c r="O41" s="18"/>
      <c r="P41" s="18"/>
      <c r="Q41" s="19"/>
      <c r="R41" s="21"/>
      <c r="S41" s="21"/>
      <c r="T41" s="19"/>
      <c r="U41" s="19"/>
      <c r="V41" s="19"/>
      <c r="W41" s="19"/>
      <c r="X41" s="19"/>
      <c r="Y41" s="19"/>
      <c r="Z41" s="19"/>
      <c r="AA41" s="19"/>
      <c r="AB41" s="19"/>
      <c r="AC41" s="19"/>
      <c r="AD41" s="19"/>
      <c r="AE41" s="19"/>
      <c r="AF41" s="19"/>
      <c r="AG41" s="19"/>
      <c r="AH41" s="19"/>
      <c r="AI41" s="19"/>
      <c r="AJ41" s="19"/>
      <c r="AK41" s="19"/>
    </row>
    <row r="42" hidden="1">
      <c r="A42" s="50" t="s">
        <v>359</v>
      </c>
      <c r="B42" s="12" t="str">
        <f>TRIM(MID(A42, SEARCH("- ", A42) + 2, LEN(A42)))
</f>
        <v>RESPONSABILIDAD PENAL EN MINERÍA</v>
      </c>
      <c r="C42" s="13" t="s">
        <v>77</v>
      </c>
      <c r="D42" s="13" t="s">
        <v>77</v>
      </c>
      <c r="E42" s="13" t="s">
        <v>235</v>
      </c>
      <c r="F42" s="13" t="s">
        <v>77</v>
      </c>
      <c r="G42" s="57" t="s">
        <v>361</v>
      </c>
      <c r="H42" s="15" t="str">
        <f t="shared" si="1"/>
        <v>https://www.youtube.com/embed/WT87cCEYFRM</v>
      </c>
      <c r="I42" s="15" t="s">
        <v>363</v>
      </c>
      <c r="J42" s="16" t="str">
        <f>"COMIENZA DICIENDO QUE ES EL RESUMEN DEL CURSO " &amp; B42 &amp; " DE EDUMIN, LUEGO HAZ EL RESUMEN Y FINALIZA INVITANDO A VER EL RESTO DE RECURSOS DE LAS ZONAS DE EDUMIN."</f>
        <v>COMIENZA DICIENDO QUE ES EL RESUMEN DEL CURSO RESPONSABILIDAD PENAL EN MINERÍA DE EDUMIN, LUEGO HAZ EL RESUMEN Y FINALIZA INVITANDO A VER EL RESTO DE RECURSOS DE LAS ZONAS DE EDUMIN.</v>
      </c>
      <c r="K42" s="17" t="s">
        <v>114</v>
      </c>
      <c r="L42" s="18"/>
      <c r="M42" s="18" t="s">
        <v>365</v>
      </c>
      <c r="N42" s="18" t="s">
        <v>366</v>
      </c>
      <c r="O42" s="18" t="s">
        <v>367</v>
      </c>
      <c r="P42" s="18">
        <v>30.0</v>
      </c>
      <c r="Q42" s="19"/>
      <c r="R42" s="21" t="s">
        <v>122</v>
      </c>
      <c r="S42" s="21" t="s">
        <v>124</v>
      </c>
      <c r="T42" s="19"/>
      <c r="U42" s="19"/>
      <c r="V42" s="19"/>
      <c r="W42" s="19"/>
      <c r="X42" s="19"/>
      <c r="Y42" s="19"/>
      <c r="Z42" s="19"/>
      <c r="AA42" s="19"/>
      <c r="AB42" s="19"/>
      <c r="AC42" s="19"/>
      <c r="AD42" s="19"/>
      <c r="AE42" s="19"/>
      <c r="AF42" s="19"/>
      <c r="AG42" s="19"/>
      <c r="AH42" s="19"/>
      <c r="AI42" s="19"/>
      <c r="AJ42" s="19"/>
      <c r="AK42" s="19"/>
    </row>
    <row r="43" hidden="1">
      <c r="A43" s="23"/>
      <c r="B43" s="23"/>
      <c r="C43" s="23"/>
      <c r="D43" s="23"/>
      <c r="E43" s="23"/>
      <c r="F43" s="23"/>
      <c r="G43" s="34" t="s">
        <v>368</v>
      </c>
      <c r="H43" s="15" t="str">
        <f t="shared" si="1"/>
        <v>https://youtube.com/embed/1WFr2u8rKSU</v>
      </c>
      <c r="I43" s="15" t="s">
        <v>369</v>
      </c>
      <c r="J43" s="18"/>
      <c r="K43" s="17" t="s">
        <v>114</v>
      </c>
      <c r="L43" s="18"/>
      <c r="M43" s="18"/>
      <c r="N43" s="18"/>
      <c r="O43" s="18"/>
      <c r="P43" s="18"/>
      <c r="Q43" s="19"/>
      <c r="R43" s="21"/>
      <c r="S43" s="21"/>
      <c r="T43" s="19"/>
      <c r="U43" s="19"/>
      <c r="V43" s="19"/>
      <c r="W43" s="19"/>
      <c r="X43" s="19"/>
      <c r="Y43" s="19"/>
      <c r="Z43" s="19"/>
      <c r="AA43" s="19"/>
      <c r="AB43" s="19"/>
      <c r="AC43" s="19"/>
      <c r="AD43" s="19"/>
      <c r="AE43" s="19"/>
      <c r="AF43" s="19"/>
      <c r="AG43" s="19"/>
      <c r="AH43" s="19"/>
      <c r="AI43" s="19"/>
      <c r="AJ43" s="19"/>
      <c r="AK43" s="19"/>
    </row>
    <row r="44" hidden="1">
      <c r="A44" s="23"/>
      <c r="B44" s="23"/>
      <c r="C44" s="23"/>
      <c r="D44" s="23"/>
      <c r="E44" s="23"/>
      <c r="F44" s="23"/>
      <c r="G44" s="34" t="s">
        <v>371</v>
      </c>
      <c r="H44" s="15" t="str">
        <f t="shared" si="1"/>
        <v>https://youtube.com/embed/kyaj0F42pTU</v>
      </c>
      <c r="I44" s="15" t="s">
        <v>372</v>
      </c>
      <c r="J44" s="18"/>
      <c r="K44" s="17" t="s">
        <v>114</v>
      </c>
      <c r="L44" s="18"/>
      <c r="M44" s="18"/>
      <c r="N44" s="18"/>
      <c r="O44" s="18"/>
      <c r="P44" s="18"/>
      <c r="Q44" s="19"/>
      <c r="R44" s="21"/>
      <c r="S44" s="21"/>
      <c r="T44" s="19"/>
      <c r="U44" s="19"/>
      <c r="V44" s="19"/>
      <c r="W44" s="19"/>
      <c r="X44" s="19"/>
      <c r="Y44" s="19"/>
      <c r="Z44" s="19"/>
      <c r="AA44" s="19"/>
      <c r="AB44" s="19"/>
      <c r="AC44" s="19"/>
      <c r="AD44" s="19"/>
      <c r="AE44" s="19"/>
      <c r="AF44" s="19"/>
      <c r="AG44" s="19"/>
      <c r="AH44" s="19"/>
      <c r="AI44" s="19"/>
      <c r="AJ44" s="19"/>
      <c r="AK44" s="19"/>
    </row>
    <row r="45" hidden="1">
      <c r="A45" s="27"/>
      <c r="B45" s="27"/>
      <c r="C45" s="27"/>
      <c r="D45" s="27"/>
      <c r="E45" s="27"/>
      <c r="F45" s="27"/>
      <c r="G45" s="34" t="s">
        <v>373</v>
      </c>
      <c r="H45" s="15" t="str">
        <f t="shared" si="1"/>
        <v>https://youtube.com/embed/qdC2jgv49og</v>
      </c>
      <c r="I45" s="15" t="s">
        <v>374</v>
      </c>
      <c r="J45" s="18"/>
      <c r="K45" s="17" t="s">
        <v>114</v>
      </c>
      <c r="L45" s="18"/>
      <c r="M45" s="18"/>
      <c r="N45" s="18"/>
      <c r="O45" s="18"/>
      <c r="P45" s="18"/>
      <c r="Q45" s="19"/>
      <c r="R45" s="21"/>
      <c r="S45" s="21"/>
      <c r="T45" s="19"/>
      <c r="U45" s="19"/>
      <c r="V45" s="19"/>
      <c r="W45" s="19"/>
      <c r="X45" s="19"/>
      <c r="Y45" s="19"/>
      <c r="Z45" s="19"/>
      <c r="AA45" s="19"/>
      <c r="AB45" s="19"/>
      <c r="AC45" s="19"/>
      <c r="AD45" s="19"/>
      <c r="AE45" s="19"/>
      <c r="AF45" s="19"/>
      <c r="AG45" s="19"/>
      <c r="AH45" s="19"/>
      <c r="AI45" s="19"/>
      <c r="AJ45" s="19"/>
      <c r="AK45" s="19"/>
    </row>
    <row r="46" hidden="1">
      <c r="A46" s="11" t="s">
        <v>375</v>
      </c>
      <c r="B46" s="12" t="str">
        <f>TRIM(MID(A46, SEARCH("- ", A46) + 2, LEN(A46)))
</f>
        <v>DERECHO LABORAL EN MINERÍA</v>
      </c>
      <c r="C46" s="13" t="s">
        <v>77</v>
      </c>
      <c r="D46" s="13" t="s">
        <v>77</v>
      </c>
      <c r="E46" s="13" t="s">
        <v>235</v>
      </c>
      <c r="F46" s="13" t="s">
        <v>77</v>
      </c>
      <c r="G46" s="34" t="s">
        <v>377</v>
      </c>
      <c r="H46" s="15" t="str">
        <f t="shared" si="1"/>
        <v>https://youtube.com/embed/jLeuaX-G3Hs</v>
      </c>
      <c r="I46" s="15" t="s">
        <v>379</v>
      </c>
      <c r="J46" s="16" t="str">
        <f>"COMIENZA DICIENDO QUE ES EL RESUMEN DEL CURSO " &amp; B46 &amp; " DE EDUMIN, LUEGO HAZ EL RESUMEN Y FINALIZA INVITANDO A VER EL RESTO DE RECURSOS DE LAS ZONAS DE EDUMIN."</f>
        <v>COMIENZA DICIENDO QUE ES EL RESUMEN DEL CURSO DERECHO LABORAL EN MINERÍA DE EDUMIN, LUEGO HAZ EL RESUMEN Y FINALIZA INVITANDO A VER EL RESTO DE RECURSOS DE LAS ZONAS DE EDUMIN.</v>
      </c>
      <c r="K46" s="17" t="s">
        <v>114</v>
      </c>
      <c r="L46" s="18"/>
      <c r="M46" s="18" t="s">
        <v>380</v>
      </c>
      <c r="N46" s="18" t="s">
        <v>381</v>
      </c>
      <c r="O46" s="18" t="s">
        <v>382</v>
      </c>
      <c r="P46" s="18">
        <v>30.0</v>
      </c>
      <c r="Q46" s="19"/>
      <c r="R46" s="21" t="s">
        <v>122</v>
      </c>
      <c r="S46" s="21" t="s">
        <v>124</v>
      </c>
      <c r="T46" s="19"/>
      <c r="U46" s="19"/>
      <c r="V46" s="19"/>
      <c r="W46" s="19"/>
      <c r="X46" s="19"/>
      <c r="Y46" s="19"/>
      <c r="Z46" s="19"/>
      <c r="AA46" s="19"/>
      <c r="AB46" s="19"/>
      <c r="AC46" s="19"/>
      <c r="AD46" s="19"/>
      <c r="AE46" s="19"/>
      <c r="AF46" s="19"/>
      <c r="AG46" s="19"/>
      <c r="AH46" s="19"/>
      <c r="AI46" s="19"/>
      <c r="AJ46" s="19"/>
      <c r="AK46" s="19"/>
    </row>
    <row r="47" hidden="1">
      <c r="A47" s="23"/>
      <c r="B47" s="23"/>
      <c r="C47" s="23"/>
      <c r="D47" s="23"/>
      <c r="E47" s="23"/>
      <c r="F47" s="23"/>
      <c r="G47" s="34" t="s">
        <v>384</v>
      </c>
      <c r="H47" s="15" t="str">
        <f t="shared" si="1"/>
        <v>https://youtube.com/embed/LD6oSbGfkFU</v>
      </c>
      <c r="I47" s="15" t="s">
        <v>385</v>
      </c>
      <c r="J47" s="18"/>
      <c r="K47" s="17" t="s">
        <v>114</v>
      </c>
      <c r="L47" s="18"/>
      <c r="M47" s="18"/>
      <c r="N47" s="18"/>
      <c r="O47" s="18"/>
      <c r="P47" s="18"/>
      <c r="Q47" s="19"/>
      <c r="R47" s="21"/>
      <c r="S47" s="21"/>
      <c r="T47" s="19"/>
      <c r="U47" s="19"/>
      <c r="V47" s="19"/>
      <c r="W47" s="19"/>
      <c r="X47" s="19"/>
      <c r="Y47" s="19"/>
      <c r="Z47" s="19"/>
      <c r="AA47" s="19"/>
      <c r="AB47" s="19"/>
      <c r="AC47" s="19"/>
      <c r="AD47" s="19"/>
      <c r="AE47" s="19"/>
      <c r="AF47" s="19"/>
      <c r="AG47" s="19"/>
      <c r="AH47" s="19"/>
      <c r="AI47" s="19"/>
      <c r="AJ47" s="19"/>
      <c r="AK47" s="19"/>
    </row>
    <row r="48" hidden="1">
      <c r="A48" s="23"/>
      <c r="B48" s="23"/>
      <c r="C48" s="23"/>
      <c r="D48" s="23"/>
      <c r="E48" s="23"/>
      <c r="F48" s="23"/>
      <c r="G48" s="34" t="s">
        <v>387</v>
      </c>
      <c r="H48" s="15" t="str">
        <f t="shared" si="1"/>
        <v>https://youtube.com/embed/F71dYyft28g</v>
      </c>
      <c r="I48" s="15" t="s">
        <v>388</v>
      </c>
      <c r="J48" s="18"/>
      <c r="K48" s="17" t="s">
        <v>114</v>
      </c>
      <c r="L48" s="18"/>
      <c r="M48" s="18"/>
      <c r="N48" s="18"/>
      <c r="O48" s="18"/>
      <c r="P48" s="18"/>
      <c r="Q48" s="19"/>
      <c r="R48" s="21"/>
      <c r="S48" s="21"/>
      <c r="T48" s="19"/>
      <c r="U48" s="19"/>
      <c r="V48" s="19"/>
      <c r="W48" s="19"/>
      <c r="X48" s="19"/>
      <c r="Y48" s="19"/>
      <c r="Z48" s="19"/>
      <c r="AA48" s="19"/>
      <c r="AB48" s="19"/>
      <c r="AC48" s="19"/>
      <c r="AD48" s="19"/>
      <c r="AE48" s="19"/>
      <c r="AF48" s="19"/>
      <c r="AG48" s="19"/>
      <c r="AH48" s="19"/>
      <c r="AI48" s="19"/>
      <c r="AJ48" s="19"/>
      <c r="AK48" s="19"/>
    </row>
    <row r="49" hidden="1">
      <c r="A49" s="27"/>
      <c r="B49" s="27"/>
      <c r="C49" s="27"/>
      <c r="D49" s="27"/>
      <c r="E49" s="27"/>
      <c r="F49" s="27"/>
      <c r="G49" s="34" t="s">
        <v>390</v>
      </c>
      <c r="H49" s="15" t="str">
        <f t="shared" si="1"/>
        <v>https://youtube.com/embed/aQYZnNVqr2c</v>
      </c>
      <c r="I49" s="15" t="s">
        <v>391</v>
      </c>
      <c r="J49" s="18"/>
      <c r="K49" s="17" t="s">
        <v>114</v>
      </c>
      <c r="L49" s="18"/>
      <c r="M49" s="18"/>
      <c r="N49" s="18"/>
      <c r="O49" s="18"/>
      <c r="P49" s="18"/>
      <c r="Q49" s="19"/>
      <c r="R49" s="21"/>
      <c r="S49" s="21"/>
      <c r="T49" s="19"/>
      <c r="U49" s="19"/>
      <c r="V49" s="19"/>
      <c r="W49" s="19"/>
      <c r="X49" s="19"/>
      <c r="Y49" s="19"/>
      <c r="Z49" s="19"/>
      <c r="AA49" s="19"/>
      <c r="AB49" s="19"/>
      <c r="AC49" s="19"/>
      <c r="AD49" s="19"/>
      <c r="AE49" s="19"/>
      <c r="AF49" s="19"/>
      <c r="AG49" s="19"/>
      <c r="AH49" s="19"/>
      <c r="AI49" s="19"/>
      <c r="AJ49" s="19"/>
      <c r="AK49" s="19"/>
    </row>
    <row r="50" hidden="1">
      <c r="A50" s="50" t="s">
        <v>392</v>
      </c>
      <c r="B50" s="12" t="str">
        <f>TRIM(MID(A50, SEARCH("- ", A50) + 2, LEN(A50)))
</f>
        <v>TIPOS DE CONCESIONES MINERAS</v>
      </c>
      <c r="C50" s="13" t="s">
        <v>77</v>
      </c>
      <c r="D50" s="13" t="s">
        <v>77</v>
      </c>
      <c r="E50" s="13" t="s">
        <v>235</v>
      </c>
      <c r="F50" s="13" t="s">
        <v>77</v>
      </c>
      <c r="G50" s="34" t="s">
        <v>394</v>
      </c>
      <c r="H50" s="15" t="str">
        <f t="shared" si="1"/>
        <v>https://youtube.com/embed/cDn_mKRjs_w</v>
      </c>
      <c r="I50" s="15" t="s">
        <v>395</v>
      </c>
      <c r="J50" s="16" t="str">
        <f>"COMIENZA DICIENDO QUE ES EL RESUMEN DEL CURSO " &amp; B50 &amp; " DE EDUMIN, LUEGO HAZ EL RESUMEN Y FINALIZA INVITANDO A VER EL RESTO DE RECURSOS DE LAS ZONAS DE EDUMIN."</f>
        <v>COMIENZA DICIENDO QUE ES EL RESUMEN DEL CURSO TIPOS DE CONCESIONES MINERAS DE EDUMIN, LUEGO HAZ EL RESUMEN Y FINALIZA INVITANDO A VER EL RESTO DE RECURSOS DE LAS ZONAS DE EDUMIN.</v>
      </c>
      <c r="K50" s="17" t="s">
        <v>114</v>
      </c>
      <c r="L50" s="18"/>
      <c r="M50" s="18" t="s">
        <v>397</v>
      </c>
      <c r="N50" s="18" t="s">
        <v>382</v>
      </c>
      <c r="O50" s="18" t="s">
        <v>398</v>
      </c>
      <c r="P50" s="18">
        <v>30.0</v>
      </c>
      <c r="Q50" s="19"/>
      <c r="R50" s="21" t="s">
        <v>122</v>
      </c>
      <c r="S50" s="21" t="s">
        <v>124</v>
      </c>
      <c r="T50" s="19"/>
      <c r="U50" s="19"/>
      <c r="V50" s="19"/>
      <c r="W50" s="19"/>
      <c r="X50" s="19"/>
      <c r="Y50" s="19"/>
      <c r="Z50" s="19"/>
      <c r="AA50" s="19"/>
      <c r="AB50" s="19"/>
      <c r="AC50" s="19"/>
      <c r="AD50" s="19"/>
      <c r="AE50" s="19"/>
      <c r="AF50" s="19"/>
      <c r="AG50" s="19"/>
      <c r="AH50" s="19"/>
      <c r="AI50" s="19"/>
      <c r="AJ50" s="19"/>
      <c r="AK50" s="19"/>
    </row>
    <row r="51" hidden="1">
      <c r="A51" s="23"/>
      <c r="B51" s="23"/>
      <c r="C51" s="23"/>
      <c r="D51" s="23"/>
      <c r="E51" s="23"/>
      <c r="F51" s="23"/>
      <c r="G51" s="34" t="s">
        <v>399</v>
      </c>
      <c r="H51" s="15" t="str">
        <f t="shared" si="1"/>
        <v>https://youtube.com/embed/Y_O1pmn5AI0</v>
      </c>
      <c r="I51" s="15" t="s">
        <v>400</v>
      </c>
      <c r="J51" s="18"/>
      <c r="K51" s="17" t="s">
        <v>114</v>
      </c>
      <c r="L51" s="18"/>
      <c r="M51" s="18"/>
      <c r="N51" s="18"/>
      <c r="O51" s="18"/>
      <c r="P51" s="18"/>
      <c r="Q51" s="19"/>
      <c r="R51" s="21"/>
      <c r="S51" s="21"/>
      <c r="T51" s="19"/>
      <c r="U51" s="19"/>
      <c r="V51" s="19"/>
      <c r="W51" s="19"/>
      <c r="X51" s="19"/>
      <c r="Y51" s="19"/>
      <c r="Z51" s="19"/>
      <c r="AA51" s="19"/>
      <c r="AB51" s="19"/>
      <c r="AC51" s="19"/>
      <c r="AD51" s="19"/>
      <c r="AE51" s="19"/>
      <c r="AF51" s="19"/>
      <c r="AG51" s="19"/>
      <c r="AH51" s="19"/>
      <c r="AI51" s="19"/>
      <c r="AJ51" s="19"/>
      <c r="AK51" s="19"/>
    </row>
    <row r="52" hidden="1">
      <c r="A52" s="23"/>
      <c r="B52" s="23"/>
      <c r="C52" s="23"/>
      <c r="D52" s="23"/>
      <c r="E52" s="23"/>
      <c r="F52" s="23"/>
      <c r="G52" s="34" t="s">
        <v>402</v>
      </c>
      <c r="H52" s="15" t="str">
        <f t="shared" si="1"/>
        <v>https://youtube.com/embed/aoz3cGZ19QA</v>
      </c>
      <c r="I52" s="15" t="s">
        <v>403</v>
      </c>
      <c r="J52" s="18"/>
      <c r="K52" s="17" t="s">
        <v>114</v>
      </c>
      <c r="L52" s="18"/>
      <c r="M52" s="18"/>
      <c r="N52" s="18"/>
      <c r="O52" s="18"/>
      <c r="P52" s="18"/>
      <c r="Q52" s="19"/>
      <c r="R52" s="21"/>
      <c r="S52" s="21"/>
      <c r="T52" s="19"/>
      <c r="U52" s="19"/>
      <c r="V52" s="19"/>
      <c r="W52" s="19"/>
      <c r="X52" s="19"/>
      <c r="Y52" s="19"/>
      <c r="Z52" s="19"/>
      <c r="AA52" s="19"/>
      <c r="AB52" s="19"/>
      <c r="AC52" s="19"/>
      <c r="AD52" s="19"/>
      <c r="AE52" s="19"/>
      <c r="AF52" s="19"/>
      <c r="AG52" s="19"/>
      <c r="AH52" s="19"/>
      <c r="AI52" s="19"/>
      <c r="AJ52" s="19"/>
      <c r="AK52" s="19"/>
    </row>
    <row r="53" hidden="1">
      <c r="A53" s="27"/>
      <c r="B53" s="27"/>
      <c r="C53" s="27"/>
      <c r="D53" s="27"/>
      <c r="E53" s="27"/>
      <c r="F53" s="27"/>
      <c r="G53" s="34" t="s">
        <v>405</v>
      </c>
      <c r="H53" s="15" t="str">
        <f t="shared" si="1"/>
        <v>https://youtube.com/embed/mC3gBQbSi8E</v>
      </c>
      <c r="I53" s="15" t="s">
        <v>406</v>
      </c>
      <c r="J53" s="18"/>
      <c r="K53" s="17" t="s">
        <v>114</v>
      </c>
      <c r="L53" s="18"/>
      <c r="M53" s="18"/>
      <c r="N53" s="18"/>
      <c r="O53" s="18"/>
      <c r="P53" s="18"/>
      <c r="Q53" s="19"/>
      <c r="R53" s="21"/>
      <c r="S53" s="21"/>
      <c r="T53" s="19"/>
      <c r="U53" s="19"/>
      <c r="V53" s="19"/>
      <c r="W53" s="19"/>
      <c r="X53" s="19"/>
      <c r="Y53" s="19"/>
      <c r="Z53" s="19"/>
      <c r="AA53" s="19"/>
      <c r="AB53" s="19"/>
      <c r="AC53" s="19"/>
      <c r="AD53" s="19"/>
      <c r="AE53" s="19"/>
      <c r="AF53" s="19"/>
      <c r="AG53" s="19"/>
      <c r="AH53" s="19"/>
      <c r="AI53" s="19"/>
      <c r="AJ53" s="19"/>
      <c r="AK53" s="19"/>
    </row>
    <row r="54" hidden="1">
      <c r="A54" s="11" t="s">
        <v>407</v>
      </c>
      <c r="B54" s="26" t="str">
        <f>TRIM(MID(A54, SEARCH("- ", A54) + 2, LEN(A54)))
</f>
        <v>GESTIÓN DE CONTRATOS LOGÍSTICOS EN LA INDUSTRIA Y MINERÍA</v>
      </c>
      <c r="C54" s="13" t="s">
        <v>77</v>
      </c>
      <c r="D54" s="13"/>
      <c r="E54" s="13" t="s">
        <v>63</v>
      </c>
      <c r="F54" s="13" t="s">
        <v>77</v>
      </c>
      <c r="G54" s="57" t="s">
        <v>409</v>
      </c>
      <c r="H54" s="15" t="str">
        <f t="shared" si="1"/>
        <v>https://youtube.com/embed/Axdv633ShjY</v>
      </c>
      <c r="I54" s="15" t="s">
        <v>410</v>
      </c>
      <c r="J54" s="17" t="s">
        <v>170</v>
      </c>
      <c r="K54" s="17" t="s">
        <v>263</v>
      </c>
      <c r="L54" s="56" t="str">
        <f>"COMIENZA DICIENDO QUE ES EL RESUMEN DEL CURSO " &amp; B54 &amp; " DE EDUMIN, LUEGO HAZ EL RESUMEN Y FINALIZA INVITANDO A VER EL RESTO DE RECURSOS DE LAS ZONAS DE EDUMIN."</f>
        <v>COMIENZA DICIENDO QUE ES EL RESUMEN DEL CURSO GESTIÓN DE CONTRATOS LOGÍSTICOS EN LA INDUSTRIA Y MINERÍA DE EDUMIN, LUEGO HAZ EL RESUMEN Y FINALIZA INVITANDO A VER EL RESTO DE RECURSOS DE LAS ZONAS DE EDUMIN.</v>
      </c>
      <c r="M54" s="18" t="s">
        <v>397</v>
      </c>
      <c r="N54" s="18" t="s">
        <v>382</v>
      </c>
      <c r="O54" s="18" t="s">
        <v>398</v>
      </c>
      <c r="P54" s="18">
        <v>30.0</v>
      </c>
      <c r="Q54" s="19"/>
      <c r="R54" s="21" t="s">
        <v>122</v>
      </c>
      <c r="S54" s="21" t="s">
        <v>124</v>
      </c>
      <c r="T54" s="19"/>
      <c r="U54" s="19"/>
      <c r="V54" s="19"/>
      <c r="W54" s="19"/>
      <c r="X54" s="19"/>
      <c r="Y54" s="19"/>
      <c r="Z54" s="19"/>
      <c r="AA54" s="19"/>
      <c r="AB54" s="19"/>
      <c r="AC54" s="19"/>
      <c r="AD54" s="19"/>
      <c r="AE54" s="19"/>
      <c r="AF54" s="19"/>
      <c r="AG54" s="19"/>
      <c r="AH54" s="19"/>
      <c r="AI54" s="19"/>
      <c r="AJ54" s="19"/>
      <c r="AK54" s="19"/>
    </row>
    <row r="55" hidden="1">
      <c r="A55" s="23"/>
      <c r="B55" s="23"/>
      <c r="C55" s="23"/>
      <c r="D55" s="23"/>
      <c r="E55" s="23"/>
      <c r="F55" s="23"/>
      <c r="G55" s="34" t="s">
        <v>412</v>
      </c>
      <c r="H55" s="15" t="str">
        <f t="shared" si="1"/>
        <v>https://youtube.com/embed/M8p1LNfXxbQ</v>
      </c>
      <c r="I55" s="15" t="s">
        <v>413</v>
      </c>
      <c r="J55" s="17" t="s">
        <v>185</v>
      </c>
      <c r="K55" s="17" t="s">
        <v>263</v>
      </c>
      <c r="L55" s="37"/>
      <c r="M55" s="18"/>
      <c r="N55" s="18"/>
      <c r="O55" s="18"/>
      <c r="P55" s="18"/>
      <c r="Q55" s="19"/>
      <c r="R55" s="21"/>
      <c r="S55" s="21"/>
      <c r="T55" s="19"/>
      <c r="U55" s="19"/>
      <c r="V55" s="19"/>
      <c r="W55" s="19"/>
      <c r="X55" s="19"/>
      <c r="Y55" s="19"/>
      <c r="Z55" s="19"/>
      <c r="AA55" s="19"/>
      <c r="AB55" s="19"/>
      <c r="AC55" s="19"/>
      <c r="AD55" s="19"/>
      <c r="AE55" s="19"/>
      <c r="AF55" s="19"/>
      <c r="AG55" s="19"/>
      <c r="AH55" s="19"/>
      <c r="AI55" s="19"/>
      <c r="AJ55" s="19"/>
      <c r="AK55" s="19"/>
    </row>
    <row r="56" hidden="1">
      <c r="A56" s="23"/>
      <c r="B56" s="23"/>
      <c r="C56" s="23"/>
      <c r="D56" s="23"/>
      <c r="E56" s="23"/>
      <c r="F56" s="23"/>
      <c r="G56" s="34" t="s">
        <v>415</v>
      </c>
      <c r="H56" s="15" t="str">
        <f t="shared" si="1"/>
        <v>https://youtube.com/embed/n5z9gs_SSEQ</v>
      </c>
      <c r="I56" s="15" t="s">
        <v>416</v>
      </c>
      <c r="J56" s="17" t="s">
        <v>192</v>
      </c>
      <c r="K56" s="17" t="s">
        <v>263</v>
      </c>
      <c r="L56" s="37"/>
      <c r="M56" s="18"/>
      <c r="N56" s="18"/>
      <c r="O56" s="18"/>
      <c r="P56" s="18"/>
      <c r="Q56" s="19"/>
      <c r="R56" s="21"/>
      <c r="S56" s="21"/>
      <c r="T56" s="19"/>
      <c r="U56" s="19"/>
      <c r="V56" s="19"/>
      <c r="W56" s="19"/>
      <c r="X56" s="19"/>
      <c r="Y56" s="19"/>
      <c r="Z56" s="19"/>
      <c r="AA56" s="19"/>
      <c r="AB56" s="19"/>
      <c r="AC56" s="19"/>
      <c r="AD56" s="19"/>
      <c r="AE56" s="19"/>
      <c r="AF56" s="19"/>
      <c r="AG56" s="19"/>
      <c r="AH56" s="19"/>
      <c r="AI56" s="19"/>
      <c r="AJ56" s="19"/>
      <c r="AK56" s="19"/>
    </row>
    <row r="57" hidden="1">
      <c r="A57" s="27"/>
      <c r="B57" s="27"/>
      <c r="C57" s="27"/>
      <c r="D57" s="27"/>
      <c r="E57" s="27"/>
      <c r="F57" s="27"/>
      <c r="G57" s="34" t="s">
        <v>418</v>
      </c>
      <c r="H57" s="15" t="str">
        <f t="shared" si="1"/>
        <v>https://youtube.com/embed/vlHcoDpvB5c</v>
      </c>
      <c r="I57" s="15" t="s">
        <v>419</v>
      </c>
      <c r="J57" s="17" t="s">
        <v>212</v>
      </c>
      <c r="K57" s="17" t="s">
        <v>263</v>
      </c>
      <c r="L57" s="37"/>
      <c r="M57" s="18"/>
      <c r="N57" s="18"/>
      <c r="O57" s="18"/>
      <c r="P57" s="18"/>
      <c r="Q57" s="19"/>
      <c r="R57" s="21"/>
      <c r="S57" s="21"/>
      <c r="T57" s="19"/>
      <c r="U57" s="19"/>
      <c r="V57" s="19"/>
      <c r="W57" s="19"/>
      <c r="X57" s="19"/>
      <c r="Y57" s="19"/>
      <c r="Z57" s="19"/>
      <c r="AA57" s="19"/>
      <c r="AB57" s="19"/>
      <c r="AC57" s="19"/>
      <c r="AD57" s="19"/>
      <c r="AE57" s="19"/>
      <c r="AF57" s="19"/>
      <c r="AG57" s="19"/>
      <c r="AH57" s="19"/>
      <c r="AI57" s="19"/>
      <c r="AJ57" s="19"/>
      <c r="AK57" s="19"/>
    </row>
    <row r="58">
      <c r="A58" s="50" t="s">
        <v>420</v>
      </c>
      <c r="B58" s="26" t="str">
        <f>TRIM(MID(A58, SEARCH("- ", A58) + 2, LEN(A58)))
</f>
        <v>CURSO DE PREVENCIÓN DE RIESGOS</v>
      </c>
      <c r="C58" s="13" t="s">
        <v>77</v>
      </c>
      <c r="D58" s="13" t="s">
        <v>77</v>
      </c>
      <c r="E58" s="13" t="s">
        <v>65</v>
      </c>
      <c r="F58" s="13" t="s">
        <v>77</v>
      </c>
      <c r="G58" s="57" t="s">
        <v>422</v>
      </c>
      <c r="H58" s="15" t="str">
        <f t="shared" si="1"/>
        <v>https://www.youtube.com/embed/p1a7r_YmrdA</v>
      </c>
      <c r="I58" s="15" t="s">
        <v>423</v>
      </c>
      <c r="J58" s="30" t="str">
        <f>"COMIENZA DICIENDO QUE ES EL RESUMEN DEL CURSO " &amp; B58 &amp; " DE EDUMIN, LUEGO HAZ EL RESUMEN Y FINALIZA INVITANDO A VER EL RESTO DE RECURSOS DE LAS ZONAS DE EDUMIN."</f>
        <v>COMIENZA DICIENDO QUE ES EL RESUMEN DEL CURSO CURSO DE PREVENCIÓN DE RIESGOS DE EDUMIN, LUEGO HAZ EL RESUMEN Y FINALIZA INVITANDO A VER EL RESTO DE RECURSOS DE LAS ZONAS DE EDUMIN.</v>
      </c>
      <c r="K58" s="17" t="s">
        <v>425</v>
      </c>
      <c r="L58" s="18"/>
      <c r="M58" s="18" t="s">
        <v>397</v>
      </c>
      <c r="N58" s="18" t="s">
        <v>382</v>
      </c>
      <c r="O58" s="18" t="s">
        <v>398</v>
      </c>
      <c r="P58" s="18">
        <v>30.0</v>
      </c>
      <c r="Q58" s="19"/>
      <c r="R58" s="21" t="s">
        <v>122</v>
      </c>
      <c r="S58" s="21" t="s">
        <v>124</v>
      </c>
      <c r="T58" s="19"/>
      <c r="U58" s="19"/>
      <c r="V58" s="19"/>
      <c r="W58" s="19"/>
      <c r="X58" s="19"/>
      <c r="Y58" s="19"/>
      <c r="Z58" s="19"/>
      <c r="AA58" s="19"/>
      <c r="AB58" s="19"/>
      <c r="AC58" s="19"/>
      <c r="AD58" s="19"/>
      <c r="AE58" s="19"/>
      <c r="AF58" s="19"/>
      <c r="AG58" s="19"/>
      <c r="AH58" s="19"/>
      <c r="AI58" s="19"/>
      <c r="AJ58" s="19"/>
      <c r="AK58" s="19"/>
    </row>
    <row r="59">
      <c r="A59" s="23"/>
      <c r="B59" s="23"/>
      <c r="C59" s="23"/>
      <c r="D59" s="23"/>
      <c r="E59" s="23"/>
      <c r="F59" s="23"/>
      <c r="G59" s="34" t="s">
        <v>426</v>
      </c>
      <c r="H59" s="15" t="str">
        <f t="shared" si="1"/>
        <v>https://www.youtube.com/embed/0FfbK6RZ22M</v>
      </c>
      <c r="I59" s="15" t="s">
        <v>427</v>
      </c>
      <c r="J59" s="37"/>
      <c r="K59" s="17" t="s">
        <v>114</v>
      </c>
      <c r="L59" s="18"/>
      <c r="M59" s="18"/>
      <c r="N59" s="18"/>
      <c r="O59" s="18"/>
      <c r="P59" s="18"/>
      <c r="Q59" s="19"/>
      <c r="R59" s="21"/>
      <c r="S59" s="21"/>
      <c r="T59" s="19"/>
      <c r="U59" s="19"/>
      <c r="V59" s="19"/>
      <c r="W59" s="19"/>
      <c r="X59" s="19"/>
      <c r="Y59" s="19"/>
      <c r="Z59" s="19"/>
      <c r="AA59" s="19"/>
      <c r="AB59" s="19"/>
      <c r="AC59" s="19"/>
      <c r="AD59" s="19"/>
      <c r="AE59" s="19"/>
      <c r="AF59" s="19"/>
      <c r="AG59" s="19"/>
      <c r="AH59" s="19"/>
      <c r="AI59" s="19"/>
      <c r="AJ59" s="19"/>
      <c r="AK59" s="19"/>
    </row>
    <row r="60">
      <c r="A60" s="23"/>
      <c r="B60" s="23"/>
      <c r="C60" s="23"/>
      <c r="D60" s="23"/>
      <c r="E60" s="23"/>
      <c r="F60" s="23"/>
      <c r="G60" s="34" t="s">
        <v>429</v>
      </c>
      <c r="H60" s="15" t="str">
        <f t="shared" si="1"/>
        <v>https://youtube.com/embed/HqDKhmbPYno</v>
      </c>
      <c r="I60" s="15" t="s">
        <v>430</v>
      </c>
      <c r="J60" s="37"/>
      <c r="K60" s="17" t="s">
        <v>114</v>
      </c>
      <c r="L60" s="18"/>
      <c r="M60" s="18"/>
      <c r="N60" s="18"/>
      <c r="O60" s="18"/>
      <c r="P60" s="18"/>
      <c r="Q60" s="19"/>
      <c r="R60" s="21"/>
      <c r="S60" s="21"/>
      <c r="T60" s="19"/>
      <c r="U60" s="19"/>
      <c r="V60" s="19"/>
      <c r="W60" s="19"/>
      <c r="X60" s="19"/>
      <c r="Y60" s="19"/>
      <c r="Z60" s="19"/>
      <c r="AA60" s="19"/>
      <c r="AB60" s="19"/>
      <c r="AC60" s="19"/>
      <c r="AD60" s="19"/>
      <c r="AE60" s="19"/>
      <c r="AF60" s="19"/>
      <c r="AG60" s="19"/>
      <c r="AH60" s="19"/>
      <c r="AI60" s="19"/>
      <c r="AJ60" s="19"/>
      <c r="AK60" s="19"/>
    </row>
    <row r="61">
      <c r="A61" s="27"/>
      <c r="B61" s="27"/>
      <c r="C61" s="27"/>
      <c r="D61" s="27"/>
      <c r="E61" s="27"/>
      <c r="F61" s="27"/>
      <c r="G61" s="34" t="s">
        <v>432</v>
      </c>
      <c r="H61" s="15" t="str">
        <f t="shared" si="1"/>
        <v>https://youtube.com/embed/NWAm7TKvVXg</v>
      </c>
      <c r="I61" s="15" t="s">
        <v>433</v>
      </c>
      <c r="J61" s="37"/>
      <c r="K61" s="17" t="s">
        <v>114</v>
      </c>
      <c r="L61" s="18"/>
      <c r="M61" s="18"/>
      <c r="N61" s="18"/>
      <c r="O61" s="18"/>
      <c r="P61" s="18"/>
      <c r="Q61" s="19"/>
      <c r="R61" s="21"/>
      <c r="S61" s="21"/>
      <c r="T61" s="19"/>
      <c r="U61" s="19"/>
      <c r="V61" s="19"/>
      <c r="W61" s="19"/>
      <c r="X61" s="19"/>
      <c r="Y61" s="19"/>
      <c r="Z61" s="19"/>
      <c r="AA61" s="19"/>
      <c r="AB61" s="19"/>
      <c r="AC61" s="19"/>
      <c r="AD61" s="19"/>
      <c r="AE61" s="19"/>
      <c r="AF61" s="19"/>
      <c r="AG61" s="19"/>
      <c r="AH61" s="19"/>
      <c r="AI61" s="19"/>
      <c r="AJ61" s="19"/>
      <c r="AK61" s="19"/>
    </row>
    <row r="62">
      <c r="A62" s="50" t="s">
        <v>434</v>
      </c>
      <c r="B62" s="26" t="str">
        <f>TRIM(MID(A62, SEARCH("- ", A62) + 2, LEN(A62)))
</f>
        <v>IMPLEMENTACIÓN DE LA ISO 45001:2018</v>
      </c>
      <c r="C62" s="13" t="s">
        <v>77</v>
      </c>
      <c r="D62" s="13" t="s">
        <v>77</v>
      </c>
      <c r="E62" s="13" t="s">
        <v>65</v>
      </c>
      <c r="F62" s="13" t="s">
        <v>77</v>
      </c>
      <c r="G62" s="34" t="s">
        <v>436</v>
      </c>
      <c r="H62" s="15" t="str">
        <f t="shared" si="1"/>
        <v>https://youtube.com/embed/TO8myacc6OY</v>
      </c>
      <c r="I62" s="15" t="s">
        <v>437</v>
      </c>
      <c r="J62" s="30" t="str">
        <f>"COMIENZA DICIENDO QUE ES EL RESUMEN DEL CURSO " &amp; B62 &amp; " DE EDUMIN, LUEGO HAZ EL RESUMEN Y FINALIZA INVITANDO A VER EL RESTO DE RECURSOS DE LAS ZONAS DE EDUMIN."</f>
        <v>COMIENZA DICIENDO QUE ES EL RESUMEN DEL CURSO IMPLEMENTACIÓN DE LA ISO 45001:2018 DE EDUMIN, LUEGO HAZ EL RESUMEN Y FINALIZA INVITANDO A VER EL RESTO DE RECURSOS DE LAS ZONAS DE EDUMIN.</v>
      </c>
      <c r="K62" s="17" t="s">
        <v>114</v>
      </c>
      <c r="L62" s="18"/>
      <c r="M62" s="18" t="s">
        <v>380</v>
      </c>
      <c r="N62" s="18" t="s">
        <v>381</v>
      </c>
      <c r="O62" s="18" t="s">
        <v>382</v>
      </c>
      <c r="P62" s="18">
        <v>30.0</v>
      </c>
      <c r="Q62" s="19"/>
      <c r="R62" s="21" t="s">
        <v>122</v>
      </c>
      <c r="S62" s="21" t="s">
        <v>124</v>
      </c>
      <c r="T62" s="19"/>
      <c r="U62" s="19"/>
      <c r="V62" s="19"/>
      <c r="W62" s="19"/>
      <c r="X62" s="19"/>
      <c r="Y62" s="19"/>
      <c r="Z62" s="19"/>
      <c r="AA62" s="19"/>
      <c r="AB62" s="19"/>
      <c r="AC62" s="19"/>
      <c r="AD62" s="19"/>
      <c r="AE62" s="19"/>
      <c r="AF62" s="19"/>
      <c r="AG62" s="19"/>
      <c r="AH62" s="19"/>
      <c r="AI62" s="19"/>
      <c r="AJ62" s="19"/>
      <c r="AK62" s="19"/>
    </row>
    <row r="63">
      <c r="A63" s="23"/>
      <c r="B63" s="23"/>
      <c r="C63" s="23"/>
      <c r="D63" s="23"/>
      <c r="E63" s="23"/>
      <c r="F63" s="23"/>
      <c r="G63" s="57" t="s">
        <v>439</v>
      </c>
      <c r="H63" s="15" t="str">
        <f t="shared" si="1"/>
        <v>https://www.youtube.com/embed/E6FpvYBkSKw</v>
      </c>
      <c r="I63" s="15" t="s">
        <v>440</v>
      </c>
      <c r="J63" s="37"/>
      <c r="K63" s="17" t="s">
        <v>114</v>
      </c>
      <c r="L63" s="18"/>
      <c r="M63" s="18"/>
      <c r="N63" s="18"/>
      <c r="O63" s="18"/>
      <c r="P63" s="18"/>
      <c r="Q63" s="19"/>
      <c r="R63" s="21"/>
      <c r="S63" s="21"/>
      <c r="T63" s="19"/>
      <c r="U63" s="19"/>
      <c r="V63" s="19"/>
      <c r="W63" s="19"/>
      <c r="X63" s="19"/>
      <c r="Y63" s="19"/>
      <c r="Z63" s="19"/>
      <c r="AA63" s="19"/>
      <c r="AB63" s="19"/>
      <c r="AC63" s="19"/>
      <c r="AD63" s="19"/>
      <c r="AE63" s="19"/>
      <c r="AF63" s="19"/>
      <c r="AG63" s="19"/>
      <c r="AH63" s="19"/>
      <c r="AI63" s="19"/>
      <c r="AJ63" s="19"/>
      <c r="AK63" s="19"/>
    </row>
    <row r="64">
      <c r="A64" s="23"/>
      <c r="B64" s="23"/>
      <c r="C64" s="23"/>
      <c r="D64" s="23"/>
      <c r="E64" s="23"/>
      <c r="F64" s="23"/>
      <c r="G64" s="34" t="s">
        <v>442</v>
      </c>
      <c r="H64" s="15" t="str">
        <f t="shared" si="1"/>
        <v>https://youtube.com/embed/HlQkA5dlHf4</v>
      </c>
      <c r="I64" s="15" t="s">
        <v>443</v>
      </c>
      <c r="J64" s="37"/>
      <c r="K64" s="17" t="s">
        <v>114</v>
      </c>
      <c r="L64" s="18"/>
      <c r="M64" s="18"/>
      <c r="N64" s="18"/>
      <c r="O64" s="18"/>
      <c r="P64" s="18"/>
      <c r="Q64" s="19"/>
      <c r="R64" s="21"/>
      <c r="S64" s="21"/>
      <c r="T64" s="19"/>
      <c r="U64" s="19"/>
      <c r="V64" s="19"/>
      <c r="W64" s="19"/>
      <c r="X64" s="19"/>
      <c r="Y64" s="19"/>
      <c r="Z64" s="19"/>
      <c r="AA64" s="19"/>
      <c r="AB64" s="19"/>
      <c r="AC64" s="19"/>
      <c r="AD64" s="19"/>
      <c r="AE64" s="19"/>
      <c r="AF64" s="19"/>
      <c r="AG64" s="19"/>
      <c r="AH64" s="19"/>
      <c r="AI64" s="19"/>
      <c r="AJ64" s="19"/>
      <c r="AK64" s="19"/>
    </row>
    <row r="65">
      <c r="A65" s="27"/>
      <c r="B65" s="27"/>
      <c r="C65" s="27"/>
      <c r="D65" s="27"/>
      <c r="E65" s="27"/>
      <c r="F65" s="27"/>
      <c r="G65" s="34" t="s">
        <v>445</v>
      </c>
      <c r="H65" s="15" t="str">
        <f t="shared" si="1"/>
        <v>https://youtube.com/embed/E9Xsqn780Xg</v>
      </c>
      <c r="I65" s="15" t="s">
        <v>446</v>
      </c>
      <c r="J65" s="37"/>
      <c r="K65" s="17" t="s">
        <v>114</v>
      </c>
      <c r="L65" s="18"/>
      <c r="M65" s="18"/>
      <c r="N65" s="18"/>
      <c r="O65" s="18"/>
      <c r="P65" s="18"/>
      <c r="Q65" s="19"/>
      <c r="R65" s="21"/>
      <c r="S65" s="21"/>
      <c r="T65" s="19"/>
      <c r="U65" s="19"/>
      <c r="V65" s="19"/>
      <c r="W65" s="19"/>
      <c r="X65" s="19"/>
      <c r="Y65" s="19"/>
      <c r="Z65" s="19"/>
      <c r="AA65" s="19"/>
      <c r="AB65" s="19"/>
      <c r="AC65" s="19"/>
      <c r="AD65" s="19"/>
      <c r="AE65" s="19"/>
      <c r="AF65" s="19"/>
      <c r="AG65" s="19"/>
      <c r="AH65" s="19"/>
      <c r="AI65" s="19"/>
      <c r="AJ65" s="19"/>
      <c r="AK65" s="19"/>
    </row>
    <row r="66">
      <c r="A66" s="50" t="s">
        <v>448</v>
      </c>
      <c r="B66" s="26" t="str">
        <f>TRIM(MID(A66, SEARCH("- ", A66) + 2, LEN(A66)))
</f>
        <v>GESTIÓN DE EMERGENCIAS EN INDUSTRIA Y MINERÍA</v>
      </c>
      <c r="C66" s="13" t="s">
        <v>77</v>
      </c>
      <c r="D66" s="13" t="s">
        <v>77</v>
      </c>
      <c r="E66" s="13" t="s">
        <v>65</v>
      </c>
      <c r="F66" s="13" t="s">
        <v>77</v>
      </c>
      <c r="G66" s="34" t="s">
        <v>449</v>
      </c>
      <c r="H66" s="15" t="str">
        <f t="shared" si="1"/>
        <v>https://youtube.com/embed/mb0L2PI7s_c</v>
      </c>
      <c r="I66" s="15" t="s">
        <v>451</v>
      </c>
      <c r="J66" s="30" t="str">
        <f>"COMIENZA DICIENDO QUE ES EL RESUMEN DEL CURSO " &amp; B66 &amp; " DE EDUMIN, LUEGO HAZ EL RESUMEN Y FINALIZA INVITANDO A VER EL RESTO DE RECURSOS DE LAS ZONAS DE EDUMIN."</f>
        <v>COMIENZA DICIENDO QUE ES EL RESUMEN DEL CURSO GESTIÓN DE EMERGENCIAS EN INDUSTRIA Y MINERÍA DE EDUMIN, LUEGO HAZ EL RESUMEN Y FINALIZA INVITANDO A VER EL RESTO DE RECURSOS DE LAS ZONAS DE EDUMIN.</v>
      </c>
      <c r="K66" s="17" t="s">
        <v>425</v>
      </c>
      <c r="L66" s="18"/>
      <c r="M66" s="18" t="s">
        <v>380</v>
      </c>
      <c r="N66" s="18" t="s">
        <v>381</v>
      </c>
      <c r="O66" s="18" t="s">
        <v>382</v>
      </c>
      <c r="P66" s="18">
        <v>30.0</v>
      </c>
      <c r="Q66" s="19"/>
      <c r="R66" s="21" t="s">
        <v>122</v>
      </c>
      <c r="S66" s="21" t="s">
        <v>124</v>
      </c>
      <c r="T66" s="19"/>
      <c r="U66" s="19"/>
      <c r="V66" s="19"/>
      <c r="W66" s="19"/>
      <c r="X66" s="19"/>
      <c r="Y66" s="19"/>
      <c r="Z66" s="19"/>
      <c r="AA66" s="19"/>
      <c r="AB66" s="19"/>
      <c r="AC66" s="19"/>
      <c r="AD66" s="19"/>
      <c r="AE66" s="19"/>
      <c r="AF66" s="19"/>
      <c r="AG66" s="19"/>
      <c r="AH66" s="19"/>
      <c r="AI66" s="19"/>
      <c r="AJ66" s="19"/>
      <c r="AK66" s="19"/>
    </row>
    <row r="67">
      <c r="A67" s="23"/>
      <c r="B67" s="23"/>
      <c r="C67" s="23"/>
      <c r="D67" s="23"/>
      <c r="E67" s="23"/>
      <c r="F67" s="23"/>
      <c r="G67" s="34" t="s">
        <v>452</v>
      </c>
      <c r="H67" s="15" t="str">
        <f t="shared" si="1"/>
        <v>https://youtube.com/embed/IL_gbYIdcoo</v>
      </c>
      <c r="I67" s="15" t="s">
        <v>454</v>
      </c>
      <c r="J67" s="37"/>
      <c r="K67" s="17" t="s">
        <v>114</v>
      </c>
      <c r="L67" s="18"/>
      <c r="M67" s="18"/>
      <c r="N67" s="18"/>
      <c r="O67" s="18"/>
      <c r="P67" s="18"/>
      <c r="Q67" s="19"/>
      <c r="R67" s="21"/>
      <c r="S67" s="21"/>
      <c r="T67" s="19"/>
      <c r="U67" s="19"/>
      <c r="V67" s="19"/>
      <c r="W67" s="19"/>
      <c r="X67" s="19"/>
      <c r="Y67" s="19"/>
      <c r="Z67" s="19"/>
      <c r="AA67" s="19"/>
      <c r="AB67" s="19"/>
      <c r="AC67" s="19"/>
      <c r="AD67" s="19"/>
      <c r="AE67" s="19"/>
      <c r="AF67" s="19"/>
      <c r="AG67" s="19"/>
      <c r="AH67" s="19"/>
      <c r="AI67" s="19"/>
      <c r="AJ67" s="19"/>
      <c r="AK67" s="19"/>
    </row>
    <row r="68">
      <c r="A68" s="23"/>
      <c r="B68" s="23"/>
      <c r="C68" s="23"/>
      <c r="D68" s="23"/>
      <c r="E68" s="23"/>
      <c r="F68" s="23"/>
      <c r="G68" s="34" t="s">
        <v>455</v>
      </c>
      <c r="H68" s="15" t="str">
        <f t="shared" si="1"/>
        <v>https://youtube.com/embed/JuTDWiaNQ_Q</v>
      </c>
      <c r="I68" s="15" t="s">
        <v>456</v>
      </c>
      <c r="J68" s="37"/>
      <c r="K68" s="17" t="s">
        <v>114</v>
      </c>
      <c r="L68" s="18"/>
      <c r="M68" s="18"/>
      <c r="N68" s="18"/>
      <c r="O68" s="18"/>
      <c r="P68" s="18"/>
      <c r="Q68" s="19"/>
      <c r="R68" s="21"/>
      <c r="S68" s="21"/>
      <c r="T68" s="19"/>
      <c r="U68" s="19"/>
      <c r="V68" s="19"/>
      <c r="W68" s="19"/>
      <c r="X68" s="19"/>
      <c r="Y68" s="19"/>
      <c r="Z68" s="19"/>
      <c r="AA68" s="19"/>
      <c r="AB68" s="19"/>
      <c r="AC68" s="19"/>
      <c r="AD68" s="19"/>
      <c r="AE68" s="19"/>
      <c r="AF68" s="19"/>
      <c r="AG68" s="19"/>
      <c r="AH68" s="19"/>
      <c r="AI68" s="19"/>
      <c r="AJ68" s="19"/>
      <c r="AK68" s="19"/>
    </row>
    <row r="69">
      <c r="A69" s="27"/>
      <c r="B69" s="27"/>
      <c r="C69" s="27"/>
      <c r="D69" s="27"/>
      <c r="E69" s="27"/>
      <c r="F69" s="27"/>
      <c r="G69" s="34" t="s">
        <v>458</v>
      </c>
      <c r="H69" s="15" t="str">
        <f t="shared" si="1"/>
        <v>https://youtube.com/embed/KCi0XIqlWfw</v>
      </c>
      <c r="I69" s="15" t="s">
        <v>459</v>
      </c>
      <c r="J69" s="37"/>
      <c r="K69" s="17" t="s">
        <v>114</v>
      </c>
      <c r="L69" s="18"/>
      <c r="M69" s="18"/>
      <c r="N69" s="18"/>
      <c r="O69" s="18"/>
      <c r="P69" s="18"/>
      <c r="Q69" s="19"/>
      <c r="R69" s="21"/>
      <c r="S69" s="21"/>
      <c r="T69" s="19"/>
      <c r="U69" s="19"/>
      <c r="V69" s="19"/>
      <c r="W69" s="19"/>
      <c r="X69" s="19"/>
      <c r="Y69" s="19"/>
      <c r="Z69" s="19"/>
      <c r="AA69" s="19"/>
      <c r="AB69" s="19"/>
      <c r="AC69" s="19"/>
      <c r="AD69" s="19"/>
      <c r="AE69" s="19"/>
      <c r="AF69" s="19"/>
      <c r="AG69" s="19"/>
      <c r="AH69" s="19"/>
      <c r="AI69" s="19"/>
      <c r="AJ69" s="19"/>
      <c r="AK69" s="19"/>
    </row>
    <row r="70" hidden="1">
      <c r="A70" s="50" t="s">
        <v>461</v>
      </c>
      <c r="B70" s="26" t="str">
        <f>TRIM(MID(A70, SEARCH("- ", A70) + 2, LEN(A70)))
</f>
        <v>GESTIÓN DE INVENTARIOS EN INDUSTRIA Y MINERÍA</v>
      </c>
      <c r="C70" s="13" t="s">
        <v>77</v>
      </c>
      <c r="D70" s="13"/>
      <c r="E70" s="13" t="s">
        <v>63</v>
      </c>
      <c r="F70" s="13" t="s">
        <v>77</v>
      </c>
      <c r="G70" s="57" t="s">
        <v>463</v>
      </c>
      <c r="H70" s="15" t="str">
        <f t="shared" si="1"/>
        <v>https://youtube.com/embed/tQ53yAu_Zf4</v>
      </c>
      <c r="I70" s="15" t="s">
        <v>464</v>
      </c>
      <c r="J70" s="17" t="s">
        <v>170</v>
      </c>
      <c r="K70" s="17" t="s">
        <v>263</v>
      </c>
      <c r="L70" s="56" t="str">
        <f>"COMIENZA DICIENDO QUE ES EL RESUMEN DEL CURSO " &amp; B70 &amp; " DE EDUMIN, LUEGO HAZ EL RESUMEN Y FINALIZA INVITANDO A VER EL RESTO DE RECURSOS DE LAS ZONAS DE EDUMIN."</f>
        <v>COMIENZA DICIENDO QUE ES EL RESUMEN DEL CURSO GESTIÓN DE INVENTARIOS EN INDUSTRIA Y MINERÍA DE EDUMIN, LUEGO HAZ EL RESUMEN Y FINALIZA INVITANDO A VER EL RESTO DE RECURSOS DE LAS ZONAS DE EDUMIN.</v>
      </c>
      <c r="M70" s="18" t="s">
        <v>380</v>
      </c>
      <c r="N70" s="18" t="s">
        <v>381</v>
      </c>
      <c r="O70" s="18" t="s">
        <v>382</v>
      </c>
      <c r="P70" s="18">
        <v>30.0</v>
      </c>
      <c r="Q70" s="19"/>
      <c r="R70" s="21" t="s">
        <v>122</v>
      </c>
      <c r="S70" s="21" t="s">
        <v>124</v>
      </c>
      <c r="T70" s="19"/>
      <c r="U70" s="19"/>
      <c r="V70" s="19"/>
      <c r="W70" s="19"/>
      <c r="X70" s="19"/>
      <c r="Y70" s="19"/>
      <c r="Z70" s="19"/>
      <c r="AA70" s="19"/>
      <c r="AB70" s="19"/>
      <c r="AC70" s="19"/>
      <c r="AD70" s="19"/>
      <c r="AE70" s="19"/>
      <c r="AF70" s="19"/>
      <c r="AG70" s="19"/>
      <c r="AH70" s="19"/>
      <c r="AI70" s="19"/>
      <c r="AJ70" s="19"/>
      <c r="AK70" s="19"/>
    </row>
    <row r="71" hidden="1">
      <c r="A71" s="23"/>
      <c r="B71" s="23"/>
      <c r="C71" s="23"/>
      <c r="D71" s="23"/>
      <c r="E71" s="23"/>
      <c r="F71" s="23"/>
      <c r="G71" s="34" t="s">
        <v>465</v>
      </c>
      <c r="H71" s="15" t="str">
        <f t="shared" si="1"/>
        <v>https://youtube.com/embed/LN9iVEIEs9U</v>
      </c>
      <c r="I71" s="15" t="s">
        <v>467</v>
      </c>
      <c r="J71" s="17" t="s">
        <v>185</v>
      </c>
      <c r="K71" s="17" t="s">
        <v>263</v>
      </c>
      <c r="L71" s="37"/>
      <c r="M71" s="18"/>
      <c r="N71" s="18"/>
      <c r="O71" s="18"/>
      <c r="P71" s="18"/>
      <c r="Q71" s="19"/>
      <c r="R71" s="21"/>
      <c r="S71" s="21"/>
      <c r="T71" s="19"/>
      <c r="U71" s="19"/>
      <c r="V71" s="19"/>
      <c r="W71" s="19"/>
      <c r="X71" s="19"/>
      <c r="Y71" s="19"/>
      <c r="Z71" s="19"/>
      <c r="AA71" s="19"/>
      <c r="AB71" s="19"/>
      <c r="AC71" s="19"/>
      <c r="AD71" s="19"/>
      <c r="AE71" s="19"/>
      <c r="AF71" s="19"/>
      <c r="AG71" s="19"/>
      <c r="AH71" s="19"/>
      <c r="AI71" s="19"/>
      <c r="AJ71" s="19"/>
      <c r="AK71" s="19"/>
    </row>
    <row r="72" hidden="1">
      <c r="A72" s="23"/>
      <c r="B72" s="23"/>
      <c r="C72" s="23"/>
      <c r="D72" s="23"/>
      <c r="E72" s="23"/>
      <c r="F72" s="23"/>
      <c r="G72" s="34" t="s">
        <v>469</v>
      </c>
      <c r="H72" s="15" t="str">
        <f t="shared" si="1"/>
        <v>https://youtube.com/embed/3HL99bvtxyI</v>
      </c>
      <c r="I72" s="15" t="s">
        <v>470</v>
      </c>
      <c r="J72" s="17" t="s">
        <v>192</v>
      </c>
      <c r="K72" s="17" t="s">
        <v>263</v>
      </c>
      <c r="L72" s="37"/>
      <c r="M72" s="18"/>
      <c r="N72" s="18"/>
      <c r="O72" s="18"/>
      <c r="P72" s="18"/>
      <c r="Q72" s="19"/>
      <c r="R72" s="21"/>
      <c r="S72" s="21"/>
      <c r="T72" s="19"/>
      <c r="U72" s="19"/>
      <c r="V72" s="19"/>
      <c r="W72" s="19"/>
      <c r="X72" s="19"/>
      <c r="Y72" s="19"/>
      <c r="Z72" s="19"/>
      <c r="AA72" s="19"/>
      <c r="AB72" s="19"/>
      <c r="AC72" s="19"/>
      <c r="AD72" s="19"/>
      <c r="AE72" s="19"/>
      <c r="AF72" s="19"/>
      <c r="AG72" s="19"/>
      <c r="AH72" s="19"/>
      <c r="AI72" s="19"/>
      <c r="AJ72" s="19"/>
      <c r="AK72" s="19"/>
    </row>
    <row r="73" hidden="1">
      <c r="A73" s="27"/>
      <c r="B73" s="27"/>
      <c r="C73" s="27"/>
      <c r="D73" s="27"/>
      <c r="E73" s="27"/>
      <c r="F73" s="27"/>
      <c r="G73" s="34" t="s">
        <v>472</v>
      </c>
      <c r="H73" s="15" t="str">
        <f t="shared" si="1"/>
        <v>https://youtube.com/embed/iOqVUVy_u94</v>
      </c>
      <c r="I73" s="15" t="s">
        <v>473</v>
      </c>
      <c r="J73" s="17" t="s">
        <v>212</v>
      </c>
      <c r="K73" s="17" t="s">
        <v>263</v>
      </c>
      <c r="L73" s="37"/>
      <c r="M73" s="18"/>
      <c r="N73" s="18"/>
      <c r="O73" s="18"/>
      <c r="P73" s="18"/>
      <c r="Q73" s="19"/>
      <c r="R73" s="21"/>
      <c r="S73" s="21"/>
      <c r="T73" s="19"/>
      <c r="U73" s="19"/>
      <c r="V73" s="19"/>
      <c r="W73" s="19"/>
      <c r="X73" s="19"/>
      <c r="Y73" s="19"/>
      <c r="Z73" s="19"/>
      <c r="AA73" s="19"/>
      <c r="AB73" s="19"/>
      <c r="AC73" s="19"/>
      <c r="AD73" s="19"/>
      <c r="AE73" s="19"/>
      <c r="AF73" s="19"/>
      <c r="AG73" s="19"/>
      <c r="AH73" s="19"/>
      <c r="AI73" s="19"/>
      <c r="AJ73" s="19"/>
      <c r="AK73" s="19"/>
    </row>
    <row r="74" hidden="1">
      <c r="A74" s="50" t="s">
        <v>475</v>
      </c>
      <c r="B74" s="26" t="str">
        <f>TRIM(MID(A74, SEARCH("- ", A74) + 2, LEN(A74)))
</f>
        <v>CONTROL FINANCIERO EN ALMACENES</v>
      </c>
      <c r="C74" s="13" t="s">
        <v>77</v>
      </c>
      <c r="D74" s="13"/>
      <c r="E74" s="13" t="s">
        <v>63</v>
      </c>
      <c r="F74" s="13" t="s">
        <v>77</v>
      </c>
      <c r="G74" s="34" t="s">
        <v>476</v>
      </c>
      <c r="H74" s="15" t="str">
        <f t="shared" si="1"/>
        <v>https://youtube.com/embed/ismQD4kej3E</v>
      </c>
      <c r="I74" s="15" t="s">
        <v>477</v>
      </c>
      <c r="J74" s="17" t="s">
        <v>170</v>
      </c>
      <c r="K74" s="17" t="s">
        <v>263</v>
      </c>
      <c r="L74" s="56" t="str">
        <f>"COMIENZA DICIENDO QUE ES EL RESUMEN DEL CURSO " &amp; B74 &amp; " DE EDUMIN, LUEGO HAZ EL RESUMEN Y FINALIZA INVITANDO A VER EL RESTO DE RECURSOS DE LAS ZONAS DE EDUMIN."</f>
        <v>COMIENZA DICIENDO QUE ES EL RESUMEN DEL CURSO CONTROL FINANCIERO EN ALMACENES DE EDUMIN, LUEGO HAZ EL RESUMEN Y FINALIZA INVITANDO A VER EL RESTO DE RECURSOS DE LAS ZONAS DE EDUMIN.</v>
      </c>
      <c r="M74" s="18" t="s">
        <v>397</v>
      </c>
      <c r="N74" s="18" t="s">
        <v>382</v>
      </c>
      <c r="O74" s="18" t="s">
        <v>398</v>
      </c>
      <c r="P74" s="18">
        <v>30.0</v>
      </c>
      <c r="Q74" s="19"/>
      <c r="R74" s="21" t="s">
        <v>122</v>
      </c>
      <c r="S74" s="21" t="s">
        <v>124</v>
      </c>
      <c r="T74" s="19"/>
      <c r="U74" s="19"/>
      <c r="V74" s="19"/>
      <c r="W74" s="19"/>
      <c r="X74" s="19"/>
      <c r="Y74" s="19"/>
      <c r="Z74" s="19"/>
      <c r="AA74" s="19"/>
      <c r="AB74" s="19"/>
      <c r="AC74" s="19"/>
      <c r="AD74" s="19"/>
      <c r="AE74" s="19"/>
      <c r="AF74" s="19"/>
      <c r="AG74" s="19"/>
      <c r="AH74" s="19"/>
      <c r="AI74" s="19"/>
      <c r="AJ74" s="19"/>
      <c r="AK74" s="19"/>
    </row>
    <row r="75" hidden="1">
      <c r="A75" s="23"/>
      <c r="B75" s="23"/>
      <c r="C75" s="23"/>
      <c r="D75" s="23"/>
      <c r="E75" s="23"/>
      <c r="F75" s="23"/>
      <c r="G75" s="34" t="s">
        <v>479</v>
      </c>
      <c r="H75" s="15" t="str">
        <f t="shared" si="1"/>
        <v>https://youtube.com/embed/k5joz3niO10</v>
      </c>
      <c r="I75" s="15" t="s">
        <v>480</v>
      </c>
      <c r="J75" s="17" t="s">
        <v>185</v>
      </c>
      <c r="K75" s="17" t="s">
        <v>263</v>
      </c>
      <c r="L75" s="37"/>
      <c r="M75" s="18"/>
      <c r="N75" s="18"/>
      <c r="O75" s="18"/>
      <c r="P75" s="18"/>
      <c r="Q75" s="19"/>
      <c r="R75" s="21"/>
      <c r="S75" s="21"/>
      <c r="T75" s="19"/>
      <c r="U75" s="19"/>
      <c r="V75" s="19"/>
      <c r="W75" s="19"/>
      <c r="X75" s="19"/>
      <c r="Y75" s="19"/>
      <c r="Z75" s="19"/>
      <c r="AA75" s="19"/>
      <c r="AB75" s="19"/>
      <c r="AC75" s="19"/>
      <c r="AD75" s="19"/>
      <c r="AE75" s="19"/>
      <c r="AF75" s="19"/>
      <c r="AG75" s="19"/>
      <c r="AH75" s="19"/>
      <c r="AI75" s="19"/>
      <c r="AJ75" s="19"/>
      <c r="AK75" s="19"/>
    </row>
    <row r="76" hidden="1">
      <c r="A76" s="23"/>
      <c r="B76" s="23"/>
      <c r="C76" s="23"/>
      <c r="D76" s="23"/>
      <c r="E76" s="23"/>
      <c r="F76" s="23"/>
      <c r="G76" s="34" t="s">
        <v>481</v>
      </c>
      <c r="H76" s="15" t="str">
        <f t="shared" si="1"/>
        <v>https://youtube.com/embed/FLzgNFkWFE4</v>
      </c>
      <c r="I76" s="15" t="s">
        <v>483</v>
      </c>
      <c r="J76" s="17" t="s">
        <v>192</v>
      </c>
      <c r="K76" s="17" t="s">
        <v>263</v>
      </c>
      <c r="L76" s="37"/>
      <c r="M76" s="18"/>
      <c r="N76" s="18"/>
      <c r="O76" s="18"/>
      <c r="P76" s="18"/>
      <c r="Q76" s="19"/>
      <c r="R76" s="21"/>
      <c r="S76" s="21"/>
      <c r="T76" s="19"/>
      <c r="U76" s="19"/>
      <c r="V76" s="19"/>
      <c r="W76" s="19"/>
      <c r="X76" s="19"/>
      <c r="Y76" s="19"/>
      <c r="Z76" s="19"/>
      <c r="AA76" s="19"/>
      <c r="AB76" s="19"/>
      <c r="AC76" s="19"/>
      <c r="AD76" s="19"/>
      <c r="AE76" s="19"/>
      <c r="AF76" s="19"/>
      <c r="AG76" s="19"/>
      <c r="AH76" s="19"/>
      <c r="AI76" s="19"/>
      <c r="AJ76" s="19"/>
      <c r="AK76" s="19"/>
    </row>
    <row r="77" hidden="1">
      <c r="A77" s="27"/>
      <c r="B77" s="27"/>
      <c r="C77" s="27"/>
      <c r="D77" s="27"/>
      <c r="E77" s="27"/>
      <c r="F77" s="27"/>
      <c r="G77" s="34" t="s">
        <v>484</v>
      </c>
      <c r="H77" s="15" t="str">
        <f t="shared" si="1"/>
        <v>https://youtube.com/embed/cjKaqGPSzyQ</v>
      </c>
      <c r="I77" s="15" t="s">
        <v>486</v>
      </c>
      <c r="J77" s="17" t="s">
        <v>212</v>
      </c>
      <c r="K77" s="17" t="s">
        <v>263</v>
      </c>
      <c r="L77" s="37"/>
      <c r="M77" s="18"/>
      <c r="N77" s="18"/>
      <c r="O77" s="18"/>
      <c r="P77" s="18"/>
      <c r="Q77" s="19"/>
      <c r="R77" s="21"/>
      <c r="S77" s="21"/>
      <c r="T77" s="19"/>
      <c r="U77" s="19"/>
      <c r="V77" s="19"/>
      <c r="W77" s="19"/>
      <c r="X77" s="19"/>
      <c r="Y77" s="19"/>
      <c r="Z77" s="19"/>
      <c r="AA77" s="19"/>
      <c r="AB77" s="19"/>
      <c r="AC77" s="19"/>
      <c r="AD77" s="19"/>
      <c r="AE77" s="19"/>
      <c r="AF77" s="19"/>
      <c r="AG77" s="19"/>
      <c r="AH77" s="19"/>
      <c r="AI77" s="19"/>
      <c r="AJ77" s="19"/>
      <c r="AK77" s="19"/>
    </row>
    <row r="78" hidden="1">
      <c r="A78" s="11" t="s">
        <v>487</v>
      </c>
      <c r="B78" s="26" t="str">
        <f>TRIM(MID(A78, SEARCH("- ", A78) + 2, LEN(A78)))
</f>
        <v>LOGÍSTICA INTERNA EN CONTROL DE ALMACENES</v>
      </c>
      <c r="C78" s="13" t="s">
        <v>77</v>
      </c>
      <c r="D78" s="13"/>
      <c r="E78" s="13" t="s">
        <v>63</v>
      </c>
      <c r="F78" s="13" t="s">
        <v>77</v>
      </c>
      <c r="G78" s="57" t="s">
        <v>489</v>
      </c>
      <c r="H78" s="15" t="str">
        <f t="shared" si="1"/>
        <v>https://youtube.com/embed/iNsT-mga0Jk</v>
      </c>
      <c r="I78" s="15" t="s">
        <v>491</v>
      </c>
      <c r="J78" s="17" t="s">
        <v>170</v>
      </c>
      <c r="K78" s="17" t="s">
        <v>263</v>
      </c>
      <c r="L78" s="56" t="str">
        <f>"COMIENZA DICIENDO QUE ES EL RESUMEN DEL CURSO " &amp; B78 &amp; " DE EDUMIN, LUEGO HAZ EL RESUMEN Y FINALIZA INVITANDO A VER EL RESTO DE RECURSOS DE LAS ZONAS DE EDUMIN."</f>
        <v>COMIENZA DICIENDO QUE ES EL RESUMEN DEL CURSO LOGÍSTICA INTERNA EN CONTROL DE ALMACENES DE EDUMIN, LUEGO HAZ EL RESUMEN Y FINALIZA INVITANDO A VER EL RESTO DE RECURSOS DE LAS ZONAS DE EDUMIN.</v>
      </c>
      <c r="M78" s="18" t="s">
        <v>397</v>
      </c>
      <c r="N78" s="18" t="s">
        <v>382</v>
      </c>
      <c r="O78" s="18" t="s">
        <v>398</v>
      </c>
      <c r="P78" s="18">
        <v>30.0</v>
      </c>
      <c r="Q78" s="19"/>
      <c r="R78" s="21" t="s">
        <v>122</v>
      </c>
      <c r="S78" s="21" t="s">
        <v>124</v>
      </c>
      <c r="T78" s="19"/>
      <c r="U78" s="19"/>
      <c r="V78" s="19"/>
      <c r="W78" s="19"/>
      <c r="X78" s="19"/>
      <c r="Y78" s="19"/>
      <c r="Z78" s="19"/>
      <c r="AA78" s="19"/>
      <c r="AB78" s="19"/>
      <c r="AC78" s="19"/>
      <c r="AD78" s="19"/>
      <c r="AE78" s="19"/>
      <c r="AF78" s="19"/>
      <c r="AG78" s="19"/>
      <c r="AH78" s="19"/>
      <c r="AI78" s="19"/>
      <c r="AJ78" s="19"/>
      <c r="AK78" s="19"/>
    </row>
    <row r="79" hidden="1">
      <c r="A79" s="23"/>
      <c r="B79" s="23"/>
      <c r="C79" s="23"/>
      <c r="D79" s="23"/>
      <c r="E79" s="23"/>
      <c r="F79" s="23"/>
      <c r="G79" s="34" t="s">
        <v>493</v>
      </c>
      <c r="H79" s="15" t="str">
        <f t="shared" si="1"/>
        <v>https://youtube.com/embed/ASZqEEqOoFs</v>
      </c>
      <c r="I79" s="15" t="s">
        <v>494</v>
      </c>
      <c r="J79" s="17" t="s">
        <v>185</v>
      </c>
      <c r="K79" s="17" t="s">
        <v>263</v>
      </c>
      <c r="L79" s="37"/>
      <c r="M79" s="18"/>
      <c r="N79" s="18"/>
      <c r="O79" s="18"/>
      <c r="P79" s="18"/>
      <c r="Q79" s="59"/>
      <c r="R79" s="21"/>
      <c r="S79" s="21"/>
      <c r="T79" s="59"/>
      <c r="U79" s="59"/>
      <c r="V79" s="59"/>
      <c r="W79" s="59"/>
      <c r="X79" s="59"/>
      <c r="Y79" s="59"/>
      <c r="Z79" s="59"/>
      <c r="AA79" s="59"/>
      <c r="AB79" s="59"/>
      <c r="AC79" s="59"/>
      <c r="AD79" s="59"/>
      <c r="AE79" s="59"/>
      <c r="AF79" s="59"/>
      <c r="AG79" s="59"/>
      <c r="AH79" s="59"/>
      <c r="AI79" s="59"/>
      <c r="AJ79" s="59"/>
      <c r="AK79" s="59"/>
    </row>
    <row r="80" hidden="1">
      <c r="A80" s="23"/>
      <c r="B80" s="23"/>
      <c r="C80" s="23"/>
      <c r="D80" s="23"/>
      <c r="E80" s="23"/>
      <c r="F80" s="23"/>
      <c r="G80" s="34" t="s">
        <v>496</v>
      </c>
      <c r="H80" s="15" t="str">
        <f t="shared" si="1"/>
        <v>https://youtube.com/embed/0XyYPcF1u6s</v>
      </c>
      <c r="I80" s="15" t="s">
        <v>497</v>
      </c>
      <c r="J80" s="17" t="s">
        <v>192</v>
      </c>
      <c r="K80" s="17" t="s">
        <v>263</v>
      </c>
      <c r="L80" s="37"/>
      <c r="M80" s="18"/>
      <c r="N80" s="18"/>
      <c r="O80" s="18"/>
      <c r="P80" s="18"/>
      <c r="Q80" s="59"/>
      <c r="R80" s="21"/>
      <c r="S80" s="21"/>
      <c r="T80" s="59"/>
      <c r="U80" s="59"/>
      <c r="V80" s="59"/>
      <c r="W80" s="59"/>
      <c r="X80" s="59"/>
      <c r="Y80" s="59"/>
      <c r="Z80" s="59"/>
      <c r="AA80" s="59"/>
      <c r="AB80" s="59"/>
      <c r="AC80" s="59"/>
      <c r="AD80" s="59"/>
      <c r="AE80" s="59"/>
      <c r="AF80" s="59"/>
      <c r="AG80" s="59"/>
      <c r="AH80" s="59"/>
      <c r="AI80" s="59"/>
      <c r="AJ80" s="59"/>
      <c r="AK80" s="59"/>
    </row>
    <row r="81" hidden="1">
      <c r="A81" s="27"/>
      <c r="B81" s="27"/>
      <c r="C81" s="27"/>
      <c r="D81" s="27"/>
      <c r="E81" s="27"/>
      <c r="F81" s="27"/>
      <c r="G81" s="34" t="s">
        <v>498</v>
      </c>
      <c r="H81" s="15" t="str">
        <f t="shared" si="1"/>
        <v>https://youtube.com/embed/22xY82kg2rA</v>
      </c>
      <c r="I81" s="15" t="s">
        <v>499</v>
      </c>
      <c r="J81" s="17" t="s">
        <v>212</v>
      </c>
      <c r="K81" s="17" t="s">
        <v>263</v>
      </c>
      <c r="L81" s="37"/>
      <c r="M81" s="18"/>
      <c r="N81" s="18"/>
      <c r="O81" s="18"/>
      <c r="P81" s="18"/>
      <c r="Q81" s="59"/>
      <c r="R81" s="21"/>
      <c r="S81" s="21"/>
      <c r="T81" s="59"/>
      <c r="U81" s="59"/>
      <c r="V81" s="59"/>
      <c r="W81" s="59"/>
      <c r="X81" s="59"/>
      <c r="Y81" s="59"/>
      <c r="Z81" s="59"/>
      <c r="AA81" s="59"/>
      <c r="AB81" s="59"/>
      <c r="AC81" s="59"/>
      <c r="AD81" s="59"/>
      <c r="AE81" s="59"/>
      <c r="AF81" s="59"/>
      <c r="AG81" s="59"/>
      <c r="AH81" s="59"/>
      <c r="AI81" s="59"/>
      <c r="AJ81" s="59"/>
      <c r="AK81" s="59"/>
    </row>
    <row r="82">
      <c r="A82" s="11" t="s">
        <v>501</v>
      </c>
      <c r="B82" s="26" t="str">
        <f>TRIM(MID(A82, SEARCH("- ", A82) + 2, LEN(A82)))
</f>
        <v>FUNDAMENTOS DE BIG DATA</v>
      </c>
      <c r="C82" s="13" t="s">
        <v>77</v>
      </c>
      <c r="D82" s="13"/>
      <c r="E82" s="13" t="s">
        <v>65</v>
      </c>
      <c r="F82" s="13" t="s">
        <v>77</v>
      </c>
      <c r="G82" s="34" t="s">
        <v>503</v>
      </c>
      <c r="H82" s="15" t="str">
        <f t="shared" si="1"/>
        <v>https://youtube.com/embed/ySMqrteo540</v>
      </c>
      <c r="I82" s="15" t="s">
        <v>504</v>
      </c>
      <c r="J82" s="17" t="s">
        <v>170</v>
      </c>
      <c r="K82" s="17" t="s">
        <v>263</v>
      </c>
      <c r="L82" s="60" t="str">
        <f>"COMIENZA DICIENDO QUE ES EL RESUMEN DEL CURSO " &amp; B82 &amp; " DE EDUMIN, LUEGO HAZ EL RESUMEN Y FINALIZA INVITANDO A VER EL RESTO DE RECURSOS DE LAS ZONAS DE EDUMIN."</f>
        <v>COMIENZA DICIENDO QUE ES EL RESUMEN DEL CURSO FUNDAMENTOS DE BIG DATA DE EDUMIN, LUEGO HAZ EL RESUMEN Y FINALIZA INVITANDO A VER EL RESTO DE RECURSOS DE LAS ZONAS DE EDUMIN.</v>
      </c>
      <c r="M82" s="18" t="s">
        <v>365</v>
      </c>
      <c r="N82" s="18" t="s">
        <v>506</v>
      </c>
      <c r="O82" s="18" t="s">
        <v>507</v>
      </c>
      <c r="P82" s="18">
        <v>30.0</v>
      </c>
      <c r="Q82" s="19"/>
      <c r="R82" s="21" t="s">
        <v>122</v>
      </c>
      <c r="S82" s="21" t="s">
        <v>124</v>
      </c>
      <c r="T82" s="19"/>
      <c r="U82" s="19"/>
      <c r="V82" s="19"/>
      <c r="W82" s="19"/>
      <c r="X82" s="19"/>
      <c r="Y82" s="19"/>
      <c r="Z82" s="19"/>
      <c r="AA82" s="19"/>
      <c r="AB82" s="19"/>
      <c r="AC82" s="19"/>
      <c r="AD82" s="19"/>
      <c r="AE82" s="19"/>
      <c r="AF82" s="19"/>
      <c r="AG82" s="19"/>
      <c r="AH82" s="19"/>
      <c r="AI82" s="19"/>
      <c r="AJ82" s="19"/>
      <c r="AK82" s="19"/>
    </row>
    <row r="83">
      <c r="A83" s="23"/>
      <c r="B83" s="23"/>
      <c r="C83" s="23"/>
      <c r="D83" s="23"/>
      <c r="E83" s="23"/>
      <c r="F83" s="23"/>
      <c r="G83" s="34" t="s">
        <v>508</v>
      </c>
      <c r="H83" s="15" t="str">
        <f t="shared" si="1"/>
        <v>https://youtube.com/embed/zTewunME6AY</v>
      </c>
      <c r="I83" s="15" t="s">
        <v>509</v>
      </c>
      <c r="J83" s="17" t="s">
        <v>185</v>
      </c>
      <c r="K83" s="17" t="s">
        <v>263</v>
      </c>
      <c r="L83" s="17" t="s">
        <v>510</v>
      </c>
      <c r="M83" s="18"/>
      <c r="N83" s="18"/>
      <c r="O83" s="18"/>
      <c r="P83" s="18"/>
      <c r="Q83" s="19"/>
      <c r="R83" s="21"/>
      <c r="S83" s="21"/>
      <c r="T83" s="19"/>
      <c r="U83" s="19"/>
      <c r="V83" s="19"/>
      <c r="W83" s="19"/>
      <c r="X83" s="19"/>
      <c r="Y83" s="19"/>
      <c r="Z83" s="19"/>
      <c r="AA83" s="19"/>
      <c r="AB83" s="19"/>
      <c r="AC83" s="19"/>
      <c r="AD83" s="19"/>
      <c r="AE83" s="19"/>
      <c r="AF83" s="19"/>
      <c r="AG83" s="19"/>
      <c r="AH83" s="19"/>
      <c r="AI83" s="19"/>
      <c r="AJ83" s="19"/>
      <c r="AK83" s="19"/>
    </row>
    <row r="84">
      <c r="A84" s="23"/>
      <c r="B84" s="23"/>
      <c r="C84" s="23"/>
      <c r="D84" s="23"/>
      <c r="E84" s="23"/>
      <c r="F84" s="23"/>
      <c r="G84" s="34" t="s">
        <v>511</v>
      </c>
      <c r="H84" s="15" t="str">
        <f t="shared" si="1"/>
        <v>https://youtube.com/embed/6mA1GD-i6WE</v>
      </c>
      <c r="I84" s="15" t="s">
        <v>512</v>
      </c>
      <c r="J84" s="17" t="s">
        <v>192</v>
      </c>
      <c r="K84" s="17" t="s">
        <v>263</v>
      </c>
      <c r="L84" s="18"/>
      <c r="M84" s="18"/>
      <c r="N84" s="18"/>
      <c r="O84" s="18"/>
      <c r="P84" s="18"/>
      <c r="Q84" s="19"/>
      <c r="R84" s="21"/>
      <c r="S84" s="21"/>
      <c r="T84" s="19"/>
      <c r="U84" s="19"/>
      <c r="V84" s="19"/>
      <c r="W84" s="19"/>
      <c r="X84" s="19"/>
      <c r="Y84" s="19"/>
      <c r="Z84" s="19"/>
      <c r="AA84" s="19"/>
      <c r="AB84" s="19"/>
      <c r="AC84" s="19"/>
      <c r="AD84" s="19"/>
      <c r="AE84" s="19"/>
      <c r="AF84" s="19"/>
      <c r="AG84" s="19"/>
      <c r="AH84" s="19"/>
      <c r="AI84" s="19"/>
      <c r="AJ84" s="19"/>
      <c r="AK84" s="19"/>
    </row>
    <row r="85">
      <c r="A85" s="27"/>
      <c r="B85" s="27"/>
      <c r="C85" s="27"/>
      <c r="D85" s="27"/>
      <c r="E85" s="27"/>
      <c r="F85" s="27"/>
      <c r="G85" s="34" t="s">
        <v>514</v>
      </c>
      <c r="H85" s="15" t="str">
        <f t="shared" si="1"/>
        <v>https://youtube.com/embed/O_0aE-2oXcI</v>
      </c>
      <c r="I85" s="15" t="s">
        <v>515</v>
      </c>
      <c r="J85" s="17" t="s">
        <v>212</v>
      </c>
      <c r="K85" s="17" t="s">
        <v>263</v>
      </c>
      <c r="L85" s="18"/>
      <c r="M85" s="18"/>
      <c r="N85" s="18"/>
      <c r="O85" s="18"/>
      <c r="P85" s="18"/>
      <c r="Q85" s="19"/>
      <c r="R85" s="21"/>
      <c r="S85" s="21"/>
      <c r="T85" s="19"/>
      <c r="U85" s="19"/>
      <c r="V85" s="19"/>
      <c r="W85" s="19"/>
      <c r="X85" s="19"/>
      <c r="Y85" s="19"/>
      <c r="Z85" s="19"/>
      <c r="AA85" s="19"/>
      <c r="AB85" s="19"/>
      <c r="AC85" s="19"/>
      <c r="AD85" s="19"/>
      <c r="AE85" s="19"/>
      <c r="AF85" s="19"/>
      <c r="AG85" s="19"/>
      <c r="AH85" s="19"/>
      <c r="AI85" s="19"/>
      <c r="AJ85" s="19"/>
      <c r="AK85" s="19"/>
    </row>
    <row r="86">
      <c r="A86" s="11" t="s">
        <v>517</v>
      </c>
      <c r="B86" s="26" t="str">
        <f>TRIM(MID(A86, SEARCH("- ", A86) + 2, LEN(A86)))
</f>
        <v>MÉTODOS DE CAPTURA DE INFORMACIÓN EN BIG DATA</v>
      </c>
      <c r="C86" s="13" t="s">
        <v>77</v>
      </c>
      <c r="D86" s="13"/>
      <c r="E86" s="13" t="s">
        <v>65</v>
      </c>
      <c r="F86" s="13" t="s">
        <v>77</v>
      </c>
      <c r="G86" s="34" t="s">
        <v>519</v>
      </c>
      <c r="H86" s="15" t="str">
        <f t="shared" si="1"/>
        <v>https://youtube.com/embed/_oPHB7b9QbU</v>
      </c>
      <c r="I86" s="15" t="s">
        <v>520</v>
      </c>
      <c r="J86" s="17" t="s">
        <v>170</v>
      </c>
      <c r="K86" s="17" t="s">
        <v>263</v>
      </c>
      <c r="L86" s="60" t="str">
        <f>"COMIENZA DICIENDO QUE ES EL RESUMEN DEL CURSO " &amp; B86 &amp; " DE EDUMIN, LUEGO HAZ EL RESUMEN Y FINALIZA INVITANDO A VER EL RESTO DE RECURSOS DE LAS ZONAS DE EDUMIN."</f>
        <v>COMIENZA DICIENDO QUE ES EL RESUMEN DEL CURSO MÉTODOS DE CAPTURA DE INFORMACIÓN EN BIG DATA DE EDUMIN, LUEGO HAZ EL RESUMEN Y FINALIZA INVITANDO A VER EL RESTO DE RECURSOS DE LAS ZONAS DE EDUMIN.</v>
      </c>
      <c r="M86" s="18" t="s">
        <v>521</v>
      </c>
      <c r="N86" s="18" t="s">
        <v>507</v>
      </c>
      <c r="O86" s="18" t="s">
        <v>522</v>
      </c>
      <c r="P86" s="18">
        <v>30.0</v>
      </c>
      <c r="Q86" s="19"/>
      <c r="R86" s="21" t="s">
        <v>122</v>
      </c>
      <c r="S86" s="21" t="s">
        <v>124</v>
      </c>
      <c r="T86" s="19"/>
      <c r="U86" s="19"/>
      <c r="V86" s="19"/>
      <c r="W86" s="19"/>
      <c r="X86" s="19"/>
      <c r="Y86" s="19"/>
      <c r="Z86" s="19"/>
      <c r="AA86" s="19"/>
      <c r="AB86" s="19"/>
      <c r="AC86" s="19"/>
      <c r="AD86" s="19"/>
      <c r="AE86" s="19"/>
      <c r="AF86" s="19"/>
      <c r="AG86" s="19"/>
      <c r="AH86" s="19"/>
      <c r="AI86" s="19"/>
      <c r="AJ86" s="19"/>
      <c r="AK86" s="19"/>
    </row>
    <row r="87">
      <c r="A87" s="23"/>
      <c r="B87" s="23"/>
      <c r="C87" s="23"/>
      <c r="D87" s="23"/>
      <c r="E87" s="23"/>
      <c r="F87" s="23"/>
      <c r="G87" s="34" t="s">
        <v>524</v>
      </c>
      <c r="H87" s="15" t="str">
        <f t="shared" si="1"/>
        <v>https://youtube.com/embed/Q0gav66aYsc</v>
      </c>
      <c r="I87" s="15" t="s">
        <v>525</v>
      </c>
      <c r="J87" s="17" t="s">
        <v>185</v>
      </c>
      <c r="K87" s="17" t="s">
        <v>263</v>
      </c>
      <c r="L87" s="17" t="s">
        <v>510</v>
      </c>
      <c r="M87" s="18"/>
      <c r="N87" s="18"/>
      <c r="O87" s="18"/>
      <c r="P87" s="18"/>
      <c r="Q87" s="19"/>
      <c r="R87" s="21"/>
      <c r="S87" s="21"/>
      <c r="T87" s="19"/>
      <c r="U87" s="19"/>
      <c r="V87" s="19"/>
      <c r="W87" s="19"/>
      <c r="X87" s="19"/>
      <c r="Y87" s="19"/>
      <c r="Z87" s="19"/>
      <c r="AA87" s="19"/>
      <c r="AB87" s="19"/>
      <c r="AC87" s="19"/>
      <c r="AD87" s="19"/>
      <c r="AE87" s="19"/>
      <c r="AF87" s="19"/>
      <c r="AG87" s="19"/>
      <c r="AH87" s="19"/>
      <c r="AI87" s="19"/>
      <c r="AJ87" s="19"/>
      <c r="AK87" s="19"/>
    </row>
    <row r="88">
      <c r="A88" s="23"/>
      <c r="B88" s="23"/>
      <c r="C88" s="23"/>
      <c r="D88" s="23"/>
      <c r="E88" s="23"/>
      <c r="F88" s="23"/>
      <c r="G88" s="34" t="s">
        <v>526</v>
      </c>
      <c r="H88" s="15" t="str">
        <f t="shared" si="1"/>
        <v>https://youtube.com/embed/fGHmtkOpr2E</v>
      </c>
      <c r="I88" s="15" t="s">
        <v>527</v>
      </c>
      <c r="J88" s="17" t="s">
        <v>192</v>
      </c>
      <c r="K88" s="17" t="s">
        <v>263</v>
      </c>
      <c r="L88" s="18"/>
      <c r="M88" s="18"/>
      <c r="N88" s="18"/>
      <c r="O88" s="18"/>
      <c r="P88" s="18"/>
      <c r="Q88" s="19"/>
      <c r="R88" s="21"/>
      <c r="S88" s="21"/>
      <c r="T88" s="19"/>
      <c r="U88" s="19"/>
      <c r="V88" s="19"/>
      <c r="W88" s="19"/>
      <c r="X88" s="19"/>
      <c r="Y88" s="19"/>
      <c r="Z88" s="19"/>
      <c r="AA88" s="19"/>
      <c r="AB88" s="19"/>
      <c r="AC88" s="19"/>
      <c r="AD88" s="19"/>
      <c r="AE88" s="19"/>
      <c r="AF88" s="19"/>
      <c r="AG88" s="19"/>
      <c r="AH88" s="19"/>
      <c r="AI88" s="19"/>
      <c r="AJ88" s="19"/>
      <c r="AK88" s="19"/>
    </row>
    <row r="89">
      <c r="A89" s="27"/>
      <c r="B89" s="27"/>
      <c r="C89" s="27"/>
      <c r="D89" s="27"/>
      <c r="E89" s="27"/>
      <c r="F89" s="27"/>
      <c r="G89" s="34" t="s">
        <v>529</v>
      </c>
      <c r="H89" s="15" t="str">
        <f t="shared" si="1"/>
        <v>https://youtube.com/embed/loHNhtOyWGQ</v>
      </c>
      <c r="I89" s="15" t="s">
        <v>530</v>
      </c>
      <c r="J89" s="17" t="s">
        <v>212</v>
      </c>
      <c r="K89" s="17" t="s">
        <v>263</v>
      </c>
      <c r="L89" s="18"/>
      <c r="M89" s="18"/>
      <c r="N89" s="18"/>
      <c r="O89" s="18"/>
      <c r="P89" s="18"/>
      <c r="Q89" s="19"/>
      <c r="R89" s="21"/>
      <c r="S89" s="21"/>
      <c r="T89" s="19"/>
      <c r="U89" s="19"/>
      <c r="V89" s="19"/>
      <c r="W89" s="19"/>
      <c r="X89" s="19"/>
      <c r="Y89" s="19"/>
      <c r="Z89" s="19"/>
      <c r="AA89" s="19"/>
      <c r="AB89" s="19"/>
      <c r="AC89" s="19"/>
      <c r="AD89" s="19"/>
      <c r="AE89" s="19"/>
      <c r="AF89" s="19"/>
      <c r="AG89" s="19"/>
      <c r="AH89" s="19"/>
      <c r="AI89" s="19"/>
      <c r="AJ89" s="19"/>
      <c r="AK89" s="19"/>
    </row>
    <row r="90">
      <c r="A90" s="11" t="s">
        <v>532</v>
      </c>
      <c r="B90" s="26" t="str">
        <f>TRIM(MID(A90, SEARCH("- ", A90) + 2, LEN(A90)))
</f>
        <v>TENDENCIAS 2025-2026: CLAVES DE BIG DATA</v>
      </c>
      <c r="C90" s="13" t="s">
        <v>77</v>
      </c>
      <c r="D90" s="13"/>
      <c r="E90" s="13" t="s">
        <v>60</v>
      </c>
      <c r="F90" s="13" t="s">
        <v>77</v>
      </c>
      <c r="G90" s="61" t="s">
        <v>534</v>
      </c>
      <c r="H90" s="15" t="str">
        <f t="shared" si="1"/>
        <v>https://youtube.com/embed/vHakGwlRd4o</v>
      </c>
      <c r="I90" s="15" t="s">
        <v>536</v>
      </c>
      <c r="J90" s="17" t="s">
        <v>170</v>
      </c>
      <c r="K90" s="17" t="s">
        <v>263</v>
      </c>
      <c r="L90" s="60" t="str">
        <f>"COMIENZA DICIENDO QUE ES EL RESUMEN DEL CURSO " &amp; B90 &amp; " DE EDUMIN, LUEGO HAZ EL RESUMEN Y FINALIZA INVITANDO A VER EL RESTO DE RECURSOS DE LAS ZONAS DE EDUMIN."</f>
        <v>COMIENZA DICIENDO QUE ES EL RESUMEN DEL CURSO TENDENCIAS 2025-2026: CLAVES DE BIG DATA DE EDUMIN, LUEGO HAZ EL RESUMEN Y FINALIZA INVITANDO A VER EL RESTO DE RECURSOS DE LAS ZONAS DE EDUMIN.</v>
      </c>
      <c r="M90" s="18" t="s">
        <v>521</v>
      </c>
      <c r="N90" s="18" t="s">
        <v>507</v>
      </c>
      <c r="O90" s="18" t="s">
        <v>522</v>
      </c>
      <c r="P90" s="18">
        <v>30.0</v>
      </c>
      <c r="Q90" s="19"/>
      <c r="R90" s="21" t="s">
        <v>122</v>
      </c>
      <c r="S90" s="21" t="s">
        <v>124</v>
      </c>
      <c r="T90" s="19"/>
      <c r="U90" s="19"/>
      <c r="V90" s="19"/>
      <c r="W90" s="19"/>
      <c r="X90" s="19"/>
      <c r="Y90" s="19"/>
      <c r="Z90" s="19"/>
      <c r="AA90" s="19"/>
      <c r="AB90" s="19"/>
      <c r="AC90" s="19"/>
      <c r="AD90" s="19"/>
      <c r="AE90" s="19"/>
      <c r="AF90" s="19"/>
      <c r="AG90" s="19"/>
      <c r="AH90" s="19"/>
      <c r="AI90" s="19"/>
      <c r="AJ90" s="19"/>
      <c r="AK90" s="19"/>
    </row>
    <row r="91">
      <c r="A91" s="23"/>
      <c r="B91" s="23"/>
      <c r="C91" s="23"/>
      <c r="D91" s="23"/>
      <c r="E91" s="23"/>
      <c r="F91" s="23"/>
      <c r="G91" s="61" t="s">
        <v>538</v>
      </c>
      <c r="H91" s="15" t="str">
        <f t="shared" si="1"/>
        <v>https://youtube.com/embed/bqfapBBDPH8</v>
      </c>
      <c r="I91" s="15" t="s">
        <v>540</v>
      </c>
      <c r="J91" s="17" t="s">
        <v>185</v>
      </c>
      <c r="K91" s="17" t="s">
        <v>263</v>
      </c>
      <c r="L91" s="17" t="s">
        <v>263</v>
      </c>
      <c r="M91" s="18"/>
      <c r="N91" s="18"/>
      <c r="O91" s="18"/>
      <c r="P91" s="18"/>
      <c r="Q91" s="19"/>
      <c r="R91" s="21"/>
      <c r="S91" s="21"/>
      <c r="T91" s="19"/>
      <c r="U91" s="19"/>
      <c r="V91" s="19"/>
      <c r="W91" s="19"/>
      <c r="X91" s="19"/>
      <c r="Y91" s="19"/>
      <c r="Z91" s="19"/>
      <c r="AA91" s="19"/>
      <c r="AB91" s="19"/>
      <c r="AC91" s="19"/>
      <c r="AD91" s="19"/>
      <c r="AE91" s="19"/>
      <c r="AF91" s="19"/>
      <c r="AG91" s="19"/>
      <c r="AH91" s="19"/>
      <c r="AI91" s="19"/>
      <c r="AJ91" s="19"/>
      <c r="AK91" s="19"/>
    </row>
    <row r="92">
      <c r="A92" s="23"/>
      <c r="B92" s="23"/>
      <c r="C92" s="23"/>
      <c r="D92" s="23"/>
      <c r="E92" s="23"/>
      <c r="F92" s="23"/>
      <c r="G92" s="19"/>
      <c r="H92" s="62"/>
      <c r="I92" s="63"/>
      <c r="J92" s="17"/>
      <c r="K92" s="18"/>
      <c r="L92" s="18"/>
      <c r="M92" s="18"/>
      <c r="N92" s="18"/>
      <c r="O92" s="18"/>
      <c r="P92" s="18"/>
      <c r="Q92" s="19"/>
      <c r="R92" s="21"/>
      <c r="S92" s="21"/>
      <c r="T92" s="19"/>
      <c r="U92" s="19"/>
      <c r="V92" s="19"/>
      <c r="W92" s="19"/>
      <c r="X92" s="19"/>
      <c r="Y92" s="19"/>
      <c r="Z92" s="19"/>
      <c r="AA92" s="19"/>
      <c r="AB92" s="19"/>
      <c r="AC92" s="19"/>
      <c r="AD92" s="19"/>
      <c r="AE92" s="19"/>
      <c r="AF92" s="19"/>
      <c r="AG92" s="19"/>
      <c r="AH92" s="19"/>
      <c r="AI92" s="19"/>
      <c r="AJ92" s="19"/>
      <c r="AK92" s="19"/>
    </row>
    <row r="93">
      <c r="A93" s="27"/>
      <c r="B93" s="27"/>
      <c r="C93" s="27"/>
      <c r="D93" s="27"/>
      <c r="E93" s="27"/>
      <c r="F93" s="27"/>
      <c r="G93" s="34"/>
      <c r="H93" s="63"/>
      <c r="I93" s="63"/>
      <c r="J93" s="17"/>
      <c r="K93" s="18"/>
      <c r="L93" s="18"/>
      <c r="M93" s="18"/>
      <c r="N93" s="18"/>
      <c r="O93" s="18"/>
      <c r="P93" s="18"/>
      <c r="Q93" s="19"/>
      <c r="R93" s="21"/>
      <c r="S93" s="21"/>
      <c r="T93" s="19"/>
      <c r="U93" s="19"/>
      <c r="V93" s="19"/>
      <c r="W93" s="19"/>
      <c r="X93" s="19"/>
      <c r="Y93" s="19"/>
      <c r="Z93" s="19"/>
      <c r="AA93" s="19"/>
      <c r="AB93" s="19"/>
      <c r="AC93" s="19"/>
      <c r="AD93" s="19"/>
      <c r="AE93" s="19"/>
      <c r="AF93" s="19"/>
      <c r="AG93" s="19"/>
      <c r="AH93" s="19"/>
      <c r="AI93" s="19"/>
      <c r="AJ93" s="19"/>
      <c r="AK93" s="19"/>
    </row>
    <row r="94">
      <c r="A94" s="11" t="s">
        <v>543</v>
      </c>
      <c r="B94" s="26" t="str">
        <f>TRIM(MID(A94, SEARCH("- ", A94) + 2, LEN(A94)))
</f>
        <v>BIG DATA: TRANSFORMACIÓN DE DATOS (PYTHON Y R)</v>
      </c>
      <c r="C94" s="13" t="s">
        <v>77</v>
      </c>
      <c r="D94" s="13"/>
      <c r="E94" s="13" t="s">
        <v>65</v>
      </c>
      <c r="F94" s="13" t="s">
        <v>77</v>
      </c>
      <c r="G94" s="34" t="s">
        <v>545</v>
      </c>
      <c r="H94" s="15" t="str">
        <f t="shared" ref="H94:H144" si="2">SUBSTITUTE(LEFT(MID(G94,FIND("https",G94),99),FIND("?",G94)-FIND("https",G94)), "/live/", "/embed/")</f>
        <v>https://youtube.com/embed/apRGBH5tLg0</v>
      </c>
      <c r="I94" s="15" t="s">
        <v>546</v>
      </c>
      <c r="J94" s="17" t="s">
        <v>170</v>
      </c>
      <c r="K94" s="17" t="s">
        <v>263</v>
      </c>
      <c r="L94" s="60" t="str">
        <f>"COMIENZA DICIENDO QUE ES EL RESUMEN DEL CURSO " &amp; B94 &amp; " DE EDUMIN, LUEGO HAZ EL RESUMEN Y FINALIZA INVITANDO A VER EL RESTO DE RECURSOS DE LAS ZONAS DE EDUMIN."</f>
        <v>COMIENZA DICIENDO QUE ES EL RESUMEN DEL CURSO BIG DATA: TRANSFORMACIÓN DE DATOS (PYTHON Y R) DE EDUMIN, LUEGO HAZ EL RESUMEN Y FINALIZA INVITANDO A VER EL RESTO DE RECURSOS DE LAS ZONAS DE EDUMIN.</v>
      </c>
      <c r="M94" s="18" t="s">
        <v>521</v>
      </c>
      <c r="N94" s="18" t="s">
        <v>507</v>
      </c>
      <c r="O94" s="18" t="s">
        <v>522</v>
      </c>
      <c r="P94" s="18">
        <v>30.0</v>
      </c>
      <c r="Q94" s="19"/>
      <c r="R94" s="21" t="s">
        <v>122</v>
      </c>
      <c r="S94" s="21" t="s">
        <v>124</v>
      </c>
      <c r="T94" s="19"/>
      <c r="U94" s="19"/>
      <c r="V94" s="19"/>
      <c r="W94" s="19"/>
      <c r="X94" s="19"/>
      <c r="Y94" s="19"/>
      <c r="Z94" s="19"/>
      <c r="AA94" s="19"/>
      <c r="AB94" s="19"/>
      <c r="AC94" s="19"/>
      <c r="AD94" s="19"/>
      <c r="AE94" s="19"/>
      <c r="AF94" s="19"/>
      <c r="AG94" s="19"/>
      <c r="AH94" s="19"/>
      <c r="AI94" s="19"/>
      <c r="AJ94" s="19"/>
      <c r="AK94" s="19"/>
    </row>
    <row r="95">
      <c r="A95" s="23"/>
      <c r="B95" s="23"/>
      <c r="C95" s="23"/>
      <c r="D95" s="23"/>
      <c r="E95" s="23"/>
      <c r="F95" s="23"/>
      <c r="G95" s="34" t="s">
        <v>549</v>
      </c>
      <c r="H95" s="15" t="str">
        <f t="shared" si="2"/>
        <v>https://youtube.com/embed/dWSqXshSziY</v>
      </c>
      <c r="I95" s="15" t="s">
        <v>550</v>
      </c>
      <c r="J95" s="17" t="s">
        <v>185</v>
      </c>
      <c r="K95" s="17" t="s">
        <v>263</v>
      </c>
      <c r="L95" s="17" t="s">
        <v>263</v>
      </c>
      <c r="M95" s="18"/>
      <c r="N95" s="18"/>
      <c r="O95" s="18"/>
      <c r="P95" s="18"/>
      <c r="Q95" s="19"/>
      <c r="R95" s="21"/>
      <c r="S95" s="21"/>
      <c r="T95" s="19"/>
      <c r="U95" s="19"/>
      <c r="V95" s="19"/>
      <c r="W95" s="19"/>
      <c r="X95" s="19"/>
      <c r="Y95" s="19"/>
      <c r="Z95" s="19"/>
      <c r="AA95" s="19"/>
      <c r="AB95" s="19"/>
      <c r="AC95" s="19"/>
      <c r="AD95" s="19"/>
      <c r="AE95" s="19"/>
      <c r="AF95" s="19"/>
      <c r="AG95" s="19"/>
      <c r="AH95" s="19"/>
      <c r="AI95" s="19"/>
      <c r="AJ95" s="19"/>
      <c r="AK95" s="19"/>
    </row>
    <row r="96">
      <c r="A96" s="23"/>
      <c r="B96" s="23"/>
      <c r="C96" s="23"/>
      <c r="D96" s="23"/>
      <c r="E96" s="23"/>
      <c r="F96" s="23"/>
      <c r="G96" s="34" t="s">
        <v>552</v>
      </c>
      <c r="H96" s="15" t="str">
        <f t="shared" si="2"/>
        <v>https://youtube.com/embed/CY1sqGGp4yw</v>
      </c>
      <c r="I96" s="15" t="s">
        <v>554</v>
      </c>
      <c r="J96" s="17" t="s">
        <v>192</v>
      </c>
      <c r="K96" s="17" t="s">
        <v>263</v>
      </c>
      <c r="L96" s="18"/>
      <c r="M96" s="18"/>
      <c r="N96" s="18"/>
      <c r="O96" s="18"/>
      <c r="P96" s="18"/>
      <c r="Q96" s="19"/>
      <c r="R96" s="21"/>
      <c r="S96" s="21"/>
      <c r="T96" s="19"/>
      <c r="U96" s="19"/>
      <c r="V96" s="19"/>
      <c r="W96" s="19"/>
      <c r="X96" s="19"/>
      <c r="Y96" s="19"/>
      <c r="Z96" s="19"/>
      <c r="AA96" s="19"/>
      <c r="AB96" s="19"/>
      <c r="AC96" s="19"/>
      <c r="AD96" s="19"/>
      <c r="AE96" s="19"/>
      <c r="AF96" s="19"/>
      <c r="AG96" s="19"/>
      <c r="AH96" s="19"/>
      <c r="AI96" s="19"/>
      <c r="AJ96" s="19"/>
      <c r="AK96" s="19"/>
    </row>
    <row r="97">
      <c r="A97" s="27"/>
      <c r="B97" s="27"/>
      <c r="C97" s="27"/>
      <c r="D97" s="27"/>
      <c r="E97" s="27"/>
      <c r="F97" s="27"/>
      <c r="G97" s="34" t="s">
        <v>555</v>
      </c>
      <c r="H97" s="15" t="str">
        <f t="shared" si="2"/>
        <v>https://youtube.com/embed/D0C5UDynUsg</v>
      </c>
      <c r="I97" s="15" t="s">
        <v>556</v>
      </c>
      <c r="J97" s="17" t="s">
        <v>212</v>
      </c>
      <c r="K97" s="17" t="s">
        <v>263</v>
      </c>
      <c r="L97" s="18"/>
      <c r="M97" s="18"/>
      <c r="N97" s="18"/>
      <c r="O97" s="18"/>
      <c r="P97" s="18"/>
      <c r="Q97" s="19"/>
      <c r="R97" s="21"/>
      <c r="S97" s="21"/>
      <c r="T97" s="19"/>
      <c r="U97" s="19"/>
      <c r="V97" s="19"/>
      <c r="W97" s="19"/>
      <c r="X97" s="19"/>
      <c r="Y97" s="19"/>
      <c r="Z97" s="19"/>
      <c r="AA97" s="19"/>
      <c r="AB97" s="19"/>
      <c r="AC97" s="19"/>
      <c r="AD97" s="19"/>
      <c r="AE97" s="19"/>
      <c r="AF97" s="19"/>
      <c r="AG97" s="19"/>
      <c r="AH97" s="19"/>
      <c r="AI97" s="19"/>
      <c r="AJ97" s="19"/>
      <c r="AK97" s="19"/>
    </row>
    <row r="98">
      <c r="A98" s="11" t="s">
        <v>558</v>
      </c>
      <c r="B98" s="26" t="str">
        <f>TRIM(MID(A98, SEARCH("- ", A98) + 2, LEN(A98)))
</f>
        <v>MINERÍA 4.0 ESSENTIALS: NUEVAS HERRAMIENTAS</v>
      </c>
      <c r="C98" s="13" t="s">
        <v>77</v>
      </c>
      <c r="D98" s="13"/>
      <c r="E98" s="13" t="s">
        <v>65</v>
      </c>
      <c r="F98" s="13" t="s">
        <v>77</v>
      </c>
      <c r="G98" s="34" t="s">
        <v>559</v>
      </c>
      <c r="H98" s="15" t="str">
        <f t="shared" si="2"/>
        <v>https://youtube.com/embed/k5LI3M-_mmI</v>
      </c>
      <c r="I98" s="15" t="s">
        <v>560</v>
      </c>
      <c r="J98" s="17" t="s">
        <v>170</v>
      </c>
      <c r="K98" s="17" t="s">
        <v>263</v>
      </c>
      <c r="L98" s="60" t="str">
        <f>"COMIENZA DICIENDO QUE ES EL RESUMEN DEL CURSO " &amp; B98 &amp; " DE EDUMIN, LUEGO HAZ EL RESUMEN Y FINALIZA INVITANDO A VER EL RESTO DE RECURSOS DE LAS ZONAS DE EDUMIN."</f>
        <v>COMIENZA DICIENDO QUE ES EL RESUMEN DEL CURSO MINERÍA 4.0 ESSENTIALS: NUEVAS HERRAMIENTAS DE EDUMIN, LUEGO HAZ EL RESUMEN Y FINALIZA INVITANDO A VER EL RESTO DE RECURSOS DE LAS ZONAS DE EDUMIN.</v>
      </c>
      <c r="M98" s="18" t="s">
        <v>365</v>
      </c>
      <c r="N98" s="18" t="s">
        <v>506</v>
      </c>
      <c r="O98" s="18" t="s">
        <v>507</v>
      </c>
      <c r="P98" s="18">
        <v>30.0</v>
      </c>
      <c r="Q98" s="19"/>
      <c r="R98" s="21" t="s">
        <v>122</v>
      </c>
      <c r="S98" s="21" t="s">
        <v>124</v>
      </c>
      <c r="T98" s="19"/>
      <c r="U98" s="19"/>
      <c r="V98" s="19"/>
      <c r="W98" s="19"/>
      <c r="X98" s="19"/>
      <c r="Y98" s="19"/>
      <c r="Z98" s="19"/>
      <c r="AA98" s="19"/>
      <c r="AB98" s="19"/>
      <c r="AC98" s="19"/>
      <c r="AD98" s="19"/>
      <c r="AE98" s="19"/>
      <c r="AF98" s="19"/>
      <c r="AG98" s="19"/>
      <c r="AH98" s="19"/>
      <c r="AI98" s="19"/>
      <c r="AJ98" s="19"/>
      <c r="AK98" s="19"/>
    </row>
    <row r="99">
      <c r="A99" s="23"/>
      <c r="B99" s="23"/>
      <c r="C99" s="23"/>
      <c r="D99" s="23"/>
      <c r="E99" s="23"/>
      <c r="F99" s="23"/>
      <c r="G99" s="34" t="s">
        <v>562</v>
      </c>
      <c r="H99" s="15" t="str">
        <f t="shared" si="2"/>
        <v>https://youtube.com/embed/jkqBPjH-peY</v>
      </c>
      <c r="I99" s="15" t="s">
        <v>563</v>
      </c>
      <c r="J99" s="17" t="s">
        <v>185</v>
      </c>
      <c r="K99" s="17" t="s">
        <v>263</v>
      </c>
      <c r="L99" s="17" t="s">
        <v>510</v>
      </c>
      <c r="M99" s="18"/>
      <c r="N99" s="18"/>
      <c r="O99" s="18"/>
      <c r="P99" s="18"/>
      <c r="Q99" s="19"/>
      <c r="R99" s="21"/>
      <c r="S99" s="21"/>
      <c r="T99" s="19"/>
      <c r="U99" s="19"/>
      <c r="V99" s="19"/>
      <c r="W99" s="19"/>
      <c r="X99" s="19"/>
      <c r="Y99" s="19"/>
      <c r="Z99" s="19"/>
      <c r="AA99" s="19"/>
      <c r="AB99" s="19"/>
      <c r="AC99" s="19"/>
      <c r="AD99" s="19"/>
      <c r="AE99" s="19"/>
      <c r="AF99" s="19"/>
      <c r="AG99" s="19"/>
      <c r="AH99" s="19"/>
      <c r="AI99" s="19"/>
      <c r="AJ99" s="19"/>
      <c r="AK99" s="19"/>
    </row>
    <row r="100">
      <c r="A100" s="23"/>
      <c r="B100" s="23"/>
      <c r="C100" s="23"/>
      <c r="D100" s="23"/>
      <c r="E100" s="23"/>
      <c r="F100" s="23"/>
      <c r="G100" s="34" t="s">
        <v>564</v>
      </c>
      <c r="H100" s="15" t="str">
        <f t="shared" si="2"/>
        <v>https://youtube.com/embed/vzYSSY4fSkU</v>
      </c>
      <c r="I100" s="15" t="s">
        <v>566</v>
      </c>
      <c r="J100" s="17" t="s">
        <v>192</v>
      </c>
      <c r="K100" s="17" t="s">
        <v>263</v>
      </c>
      <c r="L100" s="18"/>
      <c r="M100" s="18"/>
      <c r="N100" s="18"/>
      <c r="O100" s="18"/>
      <c r="P100" s="18"/>
      <c r="Q100" s="19"/>
      <c r="R100" s="21"/>
      <c r="S100" s="21"/>
      <c r="T100" s="19"/>
      <c r="U100" s="19"/>
      <c r="V100" s="19"/>
      <c r="W100" s="19"/>
      <c r="X100" s="19"/>
      <c r="Y100" s="19"/>
      <c r="Z100" s="19"/>
      <c r="AA100" s="19"/>
      <c r="AB100" s="19"/>
      <c r="AC100" s="19"/>
      <c r="AD100" s="19"/>
      <c r="AE100" s="19"/>
      <c r="AF100" s="19"/>
      <c r="AG100" s="19"/>
      <c r="AH100" s="19"/>
      <c r="AI100" s="19"/>
      <c r="AJ100" s="19"/>
      <c r="AK100" s="19"/>
    </row>
    <row r="101">
      <c r="A101" s="27"/>
      <c r="B101" s="27"/>
      <c r="C101" s="27"/>
      <c r="D101" s="27"/>
      <c r="E101" s="27"/>
      <c r="F101" s="27"/>
      <c r="G101" s="34" t="s">
        <v>568</v>
      </c>
      <c r="H101" s="15" t="str">
        <f t="shared" si="2"/>
        <v>https://youtube.com/embed/58fa1BYLZ4I</v>
      </c>
      <c r="I101" s="15" t="s">
        <v>569</v>
      </c>
      <c r="J101" s="17" t="s">
        <v>212</v>
      </c>
      <c r="K101" s="17" t="s">
        <v>263</v>
      </c>
      <c r="L101" s="18"/>
      <c r="M101" s="18"/>
      <c r="N101" s="18"/>
      <c r="O101" s="18"/>
      <c r="P101" s="18"/>
      <c r="Q101" s="19"/>
      <c r="R101" s="21"/>
      <c r="S101" s="21"/>
      <c r="T101" s="19"/>
      <c r="U101" s="19"/>
      <c r="V101" s="19"/>
      <c r="W101" s="19"/>
      <c r="X101" s="19"/>
      <c r="Y101" s="19"/>
      <c r="Z101" s="19"/>
      <c r="AA101" s="19"/>
      <c r="AB101" s="19"/>
      <c r="AC101" s="19"/>
      <c r="AD101" s="19"/>
      <c r="AE101" s="19"/>
      <c r="AF101" s="19"/>
      <c r="AG101" s="19"/>
      <c r="AH101" s="19"/>
      <c r="AI101" s="19"/>
      <c r="AJ101" s="19"/>
      <c r="AK101" s="19"/>
    </row>
    <row r="102">
      <c r="A102" s="50" t="s">
        <v>571</v>
      </c>
      <c r="B102" s="26" t="str">
        <f>TRIM(MID(A102, SEARCH("- ", A102) + 2, LEN(A102)))
</f>
        <v>INNOVACIÓN EN MINERÍA: APLICACIONES DE INTELIGENCIA ARTIFICIAL</v>
      </c>
      <c r="C102" s="13" t="s">
        <v>77</v>
      </c>
      <c r="D102" s="13"/>
      <c r="E102" s="13" t="s">
        <v>65</v>
      </c>
      <c r="F102" s="13" t="s">
        <v>77</v>
      </c>
      <c r="G102" s="34" t="s">
        <v>573</v>
      </c>
      <c r="H102" s="15" t="str">
        <f t="shared" si="2"/>
        <v>https://youtube.com/embed/PIdyKVEYGtE</v>
      </c>
      <c r="I102" s="15" t="s">
        <v>574</v>
      </c>
      <c r="J102" s="17" t="s">
        <v>170</v>
      </c>
      <c r="K102" s="17" t="s">
        <v>263</v>
      </c>
      <c r="L102" s="60" t="str">
        <f>"COMIENZA DICIENDO QUE ES EL RESUMEN DEL CURSO " &amp; B102 &amp; " DE EDUMIN, LUEGO HAZ EL RESUMEN Y FINALIZA INVITANDO A VER EL RESTO DE RECURSOS DE LAS ZONAS DE EDUMIN."</f>
        <v>COMIENZA DICIENDO QUE ES EL RESUMEN DEL CURSO INNOVACIÓN EN MINERÍA: APLICACIONES DE INTELIGENCIA ARTIFICIAL DE EDUMIN, LUEGO HAZ EL RESUMEN Y FINALIZA INVITANDO A VER EL RESTO DE RECURSOS DE LAS ZONAS DE EDUMIN.</v>
      </c>
      <c r="M102" s="18" t="s">
        <v>521</v>
      </c>
      <c r="N102" s="18" t="s">
        <v>507</v>
      </c>
      <c r="O102" s="18" t="s">
        <v>522</v>
      </c>
      <c r="P102" s="18">
        <v>30.0</v>
      </c>
      <c r="Q102" s="19"/>
      <c r="R102" s="21" t="s">
        <v>122</v>
      </c>
      <c r="S102" s="21" t="s">
        <v>124</v>
      </c>
      <c r="T102" s="19"/>
      <c r="U102" s="19"/>
      <c r="V102" s="19"/>
      <c r="W102" s="19"/>
      <c r="X102" s="19"/>
      <c r="Y102" s="19"/>
      <c r="Z102" s="19"/>
      <c r="AA102" s="19"/>
      <c r="AB102" s="19"/>
      <c r="AC102" s="19"/>
      <c r="AD102" s="19"/>
      <c r="AE102" s="19"/>
      <c r="AF102" s="19"/>
      <c r="AG102" s="19"/>
      <c r="AH102" s="19"/>
      <c r="AI102" s="19"/>
      <c r="AJ102" s="19"/>
      <c r="AK102" s="19"/>
    </row>
    <row r="103">
      <c r="A103" s="23"/>
      <c r="B103" s="23"/>
      <c r="C103" s="23"/>
      <c r="D103" s="23"/>
      <c r="E103" s="23"/>
      <c r="F103" s="23"/>
      <c r="G103" s="61" t="s">
        <v>575</v>
      </c>
      <c r="H103" s="15" t="str">
        <f t="shared" si="2"/>
        <v>https://youtube.com/embed/DoOanHA3LSQ</v>
      </c>
      <c r="I103" s="15" t="s">
        <v>577</v>
      </c>
      <c r="J103" s="17" t="s">
        <v>185</v>
      </c>
      <c r="K103" s="17" t="s">
        <v>263</v>
      </c>
      <c r="L103" s="17" t="s">
        <v>510</v>
      </c>
      <c r="M103" s="18"/>
      <c r="N103" s="18"/>
      <c r="O103" s="18"/>
      <c r="P103" s="18"/>
      <c r="Q103" s="19"/>
      <c r="R103" s="21"/>
      <c r="S103" s="21"/>
      <c r="T103" s="19"/>
      <c r="U103" s="19"/>
      <c r="V103" s="19"/>
      <c r="W103" s="19"/>
      <c r="X103" s="19"/>
      <c r="Y103" s="19"/>
      <c r="Z103" s="19"/>
      <c r="AA103" s="19"/>
      <c r="AB103" s="19"/>
      <c r="AC103" s="19"/>
      <c r="AD103" s="19"/>
      <c r="AE103" s="19"/>
      <c r="AF103" s="19"/>
      <c r="AG103" s="19"/>
      <c r="AH103" s="19"/>
      <c r="AI103" s="19"/>
      <c r="AJ103" s="19"/>
      <c r="AK103" s="19"/>
    </row>
    <row r="104">
      <c r="A104" s="23"/>
      <c r="B104" s="23"/>
      <c r="C104" s="23"/>
      <c r="D104" s="23"/>
      <c r="E104" s="23"/>
      <c r="F104" s="23"/>
      <c r="G104" s="34" t="s">
        <v>579</v>
      </c>
      <c r="H104" s="15" t="str">
        <f t="shared" si="2"/>
        <v>https://youtube.com/embed/_86rzleYb-o</v>
      </c>
      <c r="I104" s="15" t="s">
        <v>580</v>
      </c>
      <c r="J104" s="17" t="s">
        <v>192</v>
      </c>
      <c r="K104" s="17" t="s">
        <v>263</v>
      </c>
      <c r="L104" s="18"/>
      <c r="M104" s="18"/>
      <c r="N104" s="18"/>
      <c r="O104" s="18"/>
      <c r="P104" s="18"/>
      <c r="Q104" s="19"/>
      <c r="R104" s="21"/>
      <c r="S104" s="21"/>
      <c r="T104" s="19"/>
      <c r="U104" s="19"/>
      <c r="V104" s="19"/>
      <c r="W104" s="19"/>
      <c r="X104" s="19"/>
      <c r="Y104" s="19"/>
      <c r="Z104" s="19"/>
      <c r="AA104" s="19"/>
      <c r="AB104" s="19"/>
      <c r="AC104" s="19"/>
      <c r="AD104" s="19"/>
      <c r="AE104" s="19"/>
      <c r="AF104" s="19"/>
      <c r="AG104" s="19"/>
      <c r="AH104" s="19"/>
      <c r="AI104" s="19"/>
      <c r="AJ104" s="19"/>
      <c r="AK104" s="19"/>
    </row>
    <row r="105">
      <c r="A105" s="27"/>
      <c r="B105" s="27"/>
      <c r="C105" s="27"/>
      <c r="D105" s="27"/>
      <c r="E105" s="27"/>
      <c r="F105" s="27"/>
      <c r="G105" s="34" t="s">
        <v>582</v>
      </c>
      <c r="H105" s="15" t="str">
        <f t="shared" si="2"/>
        <v>https://youtube.com/embed/EUetwM-YPOc</v>
      </c>
      <c r="I105" s="15" t="s">
        <v>583</v>
      </c>
      <c r="J105" s="17" t="s">
        <v>212</v>
      </c>
      <c r="K105" s="17" t="s">
        <v>263</v>
      </c>
      <c r="L105" s="18"/>
      <c r="M105" s="18"/>
      <c r="N105" s="18"/>
      <c r="O105" s="18"/>
      <c r="P105" s="18"/>
      <c r="Q105" s="19"/>
      <c r="R105" s="21"/>
      <c r="S105" s="21"/>
      <c r="T105" s="19"/>
      <c r="U105" s="19"/>
      <c r="V105" s="19"/>
      <c r="W105" s="19"/>
      <c r="X105" s="19"/>
      <c r="Y105" s="19"/>
      <c r="Z105" s="19"/>
      <c r="AA105" s="19"/>
      <c r="AB105" s="19"/>
      <c r="AC105" s="19"/>
      <c r="AD105" s="19"/>
      <c r="AE105" s="19"/>
      <c r="AF105" s="19"/>
      <c r="AG105" s="19"/>
      <c r="AH105" s="19"/>
      <c r="AI105" s="19"/>
      <c r="AJ105" s="19"/>
      <c r="AK105" s="19"/>
    </row>
    <row r="106">
      <c r="A106" s="50" t="s">
        <v>584</v>
      </c>
      <c r="B106" s="26" t="str">
        <f>TRIM(MID(A106, SEARCH("- ", A106) + 2, LEN(A106)))
</f>
        <v>AUTOMATIZACIÓN 4.0 EN PROCESOS MINEROS</v>
      </c>
      <c r="C106" s="13" t="s">
        <v>77</v>
      </c>
      <c r="D106" s="13"/>
      <c r="E106" s="13" t="s">
        <v>65</v>
      </c>
      <c r="F106" s="13" t="s">
        <v>77</v>
      </c>
      <c r="G106" s="34" t="s">
        <v>585</v>
      </c>
      <c r="H106" s="15" t="str">
        <f t="shared" si="2"/>
        <v>https://youtube.com/embed/0ElbNyPBwtM</v>
      </c>
      <c r="I106" s="15" t="s">
        <v>586</v>
      </c>
      <c r="J106" s="17" t="s">
        <v>170</v>
      </c>
      <c r="K106" s="17" t="s">
        <v>263</v>
      </c>
      <c r="L106" s="60" t="str">
        <f>"COMIENZA DICIENDO QUE ES EL RESUMEN DEL CURSO " &amp; B106 &amp; " DE EDUMIN, LUEGO HAZ EL RESUMEN Y FINALIZA INVITANDO A VER EL RESTO DE RECURSOS DE LAS ZONAS DE EDUMIN."</f>
        <v>COMIENZA DICIENDO QUE ES EL RESUMEN DEL CURSO AUTOMATIZACIÓN 4.0 EN PROCESOS MINEROS DE EDUMIN, LUEGO HAZ EL RESUMEN Y FINALIZA INVITANDO A VER EL RESTO DE RECURSOS DE LAS ZONAS DE EDUMIN.</v>
      </c>
      <c r="M106" s="18" t="s">
        <v>521</v>
      </c>
      <c r="N106" s="18" t="s">
        <v>507</v>
      </c>
      <c r="O106" s="18" t="s">
        <v>522</v>
      </c>
      <c r="P106" s="18">
        <v>30.0</v>
      </c>
      <c r="Q106" s="19"/>
      <c r="R106" s="21" t="s">
        <v>122</v>
      </c>
      <c r="S106" s="21" t="s">
        <v>124</v>
      </c>
      <c r="T106" s="19"/>
      <c r="U106" s="19"/>
      <c r="V106" s="19"/>
      <c r="W106" s="19"/>
      <c r="X106" s="19"/>
      <c r="Y106" s="19"/>
      <c r="Z106" s="19"/>
      <c r="AA106" s="19"/>
      <c r="AB106" s="19"/>
      <c r="AC106" s="19"/>
      <c r="AD106" s="19"/>
      <c r="AE106" s="19"/>
      <c r="AF106" s="19"/>
      <c r="AG106" s="19"/>
      <c r="AH106" s="19"/>
      <c r="AI106" s="19"/>
      <c r="AJ106" s="19"/>
      <c r="AK106" s="19"/>
    </row>
    <row r="107">
      <c r="A107" s="23"/>
      <c r="B107" s="23"/>
      <c r="C107" s="23"/>
      <c r="D107" s="23"/>
      <c r="E107" s="23"/>
      <c r="F107" s="23"/>
      <c r="G107" s="34" t="s">
        <v>588</v>
      </c>
      <c r="H107" s="15" t="str">
        <f t="shared" si="2"/>
        <v>https://youtube.com/embed/h_TQ1jvN12s</v>
      </c>
      <c r="I107" s="15" t="s">
        <v>589</v>
      </c>
      <c r="J107" s="17" t="s">
        <v>185</v>
      </c>
      <c r="K107" s="17" t="s">
        <v>263</v>
      </c>
      <c r="L107" s="17" t="s">
        <v>510</v>
      </c>
      <c r="M107" s="18"/>
      <c r="N107" s="18"/>
      <c r="O107" s="18"/>
      <c r="P107" s="18"/>
      <c r="Q107" s="19"/>
      <c r="R107" s="21"/>
      <c r="S107" s="21"/>
      <c r="T107" s="19"/>
      <c r="U107" s="19"/>
      <c r="V107" s="19"/>
      <c r="W107" s="19"/>
      <c r="X107" s="19"/>
      <c r="Y107" s="19"/>
      <c r="Z107" s="19"/>
      <c r="AA107" s="19"/>
      <c r="AB107" s="19"/>
      <c r="AC107" s="19"/>
      <c r="AD107" s="19"/>
      <c r="AE107" s="19"/>
      <c r="AF107" s="19"/>
      <c r="AG107" s="19"/>
      <c r="AH107" s="19"/>
      <c r="AI107" s="19"/>
      <c r="AJ107" s="19"/>
      <c r="AK107" s="19"/>
    </row>
    <row r="108">
      <c r="A108" s="23"/>
      <c r="B108" s="23"/>
      <c r="C108" s="23"/>
      <c r="D108" s="23"/>
      <c r="E108" s="23"/>
      <c r="F108" s="23"/>
      <c r="G108" s="34" t="s">
        <v>590</v>
      </c>
      <c r="H108" s="15" t="str">
        <f t="shared" si="2"/>
        <v>https://youtube.com/embed/rbPA4IRapII</v>
      </c>
      <c r="I108" s="15" t="s">
        <v>592</v>
      </c>
      <c r="J108" s="17" t="s">
        <v>192</v>
      </c>
      <c r="K108" s="17" t="s">
        <v>263</v>
      </c>
      <c r="L108" s="18"/>
      <c r="M108" s="18"/>
      <c r="N108" s="18"/>
      <c r="O108" s="18"/>
      <c r="P108" s="18"/>
      <c r="Q108" s="19"/>
      <c r="R108" s="21"/>
      <c r="S108" s="21"/>
      <c r="T108" s="19"/>
      <c r="U108" s="19"/>
      <c r="V108" s="19"/>
      <c r="W108" s="19"/>
      <c r="X108" s="19"/>
      <c r="Y108" s="19"/>
      <c r="Z108" s="19"/>
      <c r="AA108" s="19"/>
      <c r="AB108" s="19"/>
      <c r="AC108" s="19"/>
      <c r="AD108" s="19"/>
      <c r="AE108" s="19"/>
      <c r="AF108" s="19"/>
      <c r="AG108" s="19"/>
      <c r="AH108" s="19"/>
      <c r="AI108" s="19"/>
      <c r="AJ108" s="19"/>
      <c r="AK108" s="19"/>
    </row>
    <row r="109">
      <c r="A109" s="27"/>
      <c r="B109" s="27"/>
      <c r="C109" s="27"/>
      <c r="D109" s="27"/>
      <c r="E109" s="27"/>
      <c r="F109" s="27"/>
      <c r="G109" s="34" t="s">
        <v>594</v>
      </c>
      <c r="H109" s="15" t="str">
        <f t="shared" si="2"/>
        <v>https://youtube.com/embed/sEjoIrWkxiI</v>
      </c>
      <c r="I109" s="15" t="s">
        <v>595</v>
      </c>
      <c r="J109" s="17" t="s">
        <v>212</v>
      </c>
      <c r="K109" s="17" t="s">
        <v>263</v>
      </c>
      <c r="L109" s="18"/>
      <c r="M109" s="18"/>
      <c r="N109" s="18"/>
      <c r="O109" s="18"/>
      <c r="P109" s="18"/>
      <c r="Q109" s="19"/>
      <c r="R109" s="21"/>
      <c r="S109" s="21"/>
      <c r="T109" s="19"/>
      <c r="U109" s="19"/>
      <c r="V109" s="19"/>
      <c r="W109" s="19"/>
      <c r="X109" s="19"/>
      <c r="Y109" s="19"/>
      <c r="Z109" s="19"/>
      <c r="AA109" s="19"/>
      <c r="AB109" s="19"/>
      <c r="AC109" s="19"/>
      <c r="AD109" s="19"/>
      <c r="AE109" s="19"/>
      <c r="AF109" s="19"/>
      <c r="AG109" s="19"/>
      <c r="AH109" s="19"/>
      <c r="AI109" s="19"/>
      <c r="AJ109" s="19"/>
      <c r="AK109" s="19"/>
    </row>
    <row r="110" hidden="1">
      <c r="A110" s="11" t="s">
        <v>596</v>
      </c>
      <c r="B110" s="26" t="str">
        <f>TRIM(MID(A110, SEARCH("- ", A110) + 2, LEN(A110)))
</f>
        <v>CADENA DE SUMINISTRO LOGÍSTICA Y DISTRIBUCIÓN</v>
      </c>
      <c r="C110" s="13" t="s">
        <v>77</v>
      </c>
      <c r="D110" s="13"/>
      <c r="E110" s="13" t="s">
        <v>63</v>
      </c>
      <c r="F110" s="13" t="s">
        <v>77</v>
      </c>
      <c r="G110" s="34" t="s">
        <v>598</v>
      </c>
      <c r="H110" s="15" t="str">
        <f t="shared" si="2"/>
        <v>https://youtube.com/embed/gCgiRZk59tw</v>
      </c>
      <c r="I110" s="15" t="s">
        <v>599</v>
      </c>
      <c r="J110" s="17" t="s">
        <v>170</v>
      </c>
      <c r="K110" s="17" t="s">
        <v>114</v>
      </c>
      <c r="L110" s="56" t="str">
        <f>"COMIENZA DICIENDO QUE ES EL RESUMEN DEL CURSO " &amp; B110 &amp; " DE EDUMIN, LUEGO HAZ EL RESUMEN Y FINALIZA INVITANDO A VER EL RESTO DE RECURSOS DE LAS ZONAS DE EDUMIN."</f>
        <v>COMIENZA DICIENDO QUE ES EL RESUMEN DEL CURSO CADENA DE SUMINISTRO LOGÍSTICA Y DISTRIBUCIÓN DE EDUMIN, LUEGO HAZ EL RESUMEN Y FINALIZA INVITANDO A VER EL RESTO DE RECURSOS DE LAS ZONAS DE EDUMIN.</v>
      </c>
      <c r="M110" s="18" t="s">
        <v>365</v>
      </c>
      <c r="N110" s="18" t="s">
        <v>506</v>
      </c>
      <c r="O110" s="18" t="s">
        <v>507</v>
      </c>
      <c r="P110" s="18">
        <v>30.0</v>
      </c>
      <c r="Q110" s="19"/>
      <c r="R110" s="21" t="s">
        <v>122</v>
      </c>
      <c r="S110" s="21" t="s">
        <v>124</v>
      </c>
      <c r="T110" s="19"/>
      <c r="U110" s="19"/>
      <c r="V110" s="19"/>
      <c r="W110" s="19"/>
      <c r="X110" s="19"/>
      <c r="Y110" s="19"/>
      <c r="Z110" s="19"/>
      <c r="AA110" s="19"/>
      <c r="AB110" s="19"/>
      <c r="AC110" s="19"/>
      <c r="AD110" s="19"/>
      <c r="AE110" s="19"/>
      <c r="AF110" s="19"/>
      <c r="AG110" s="19"/>
      <c r="AH110" s="19"/>
      <c r="AI110" s="19"/>
      <c r="AJ110" s="19"/>
      <c r="AK110" s="19"/>
    </row>
    <row r="111" hidden="1">
      <c r="A111" s="23"/>
      <c r="B111" s="23"/>
      <c r="C111" s="23"/>
      <c r="D111" s="23"/>
      <c r="E111" s="23"/>
      <c r="F111" s="23"/>
      <c r="G111" s="34" t="s">
        <v>601</v>
      </c>
      <c r="H111" s="15" t="str">
        <f t="shared" si="2"/>
        <v>https://youtube.com/embed/U9puCgZI0jA</v>
      </c>
      <c r="I111" s="15" t="s">
        <v>602</v>
      </c>
      <c r="J111" s="17" t="s">
        <v>185</v>
      </c>
      <c r="K111" s="17" t="s">
        <v>114</v>
      </c>
      <c r="L111" s="37"/>
      <c r="M111" s="18"/>
      <c r="N111" s="18"/>
      <c r="O111" s="18"/>
      <c r="P111" s="18"/>
      <c r="Q111" s="19"/>
      <c r="R111" s="21"/>
      <c r="S111" s="21"/>
      <c r="T111" s="19"/>
      <c r="U111" s="19"/>
      <c r="V111" s="19"/>
      <c r="W111" s="19"/>
      <c r="X111" s="19"/>
      <c r="Y111" s="19"/>
      <c r="Z111" s="19"/>
      <c r="AA111" s="19"/>
      <c r="AB111" s="19"/>
      <c r="AC111" s="19"/>
      <c r="AD111" s="19"/>
      <c r="AE111" s="19"/>
      <c r="AF111" s="19"/>
      <c r="AG111" s="19"/>
      <c r="AH111" s="19"/>
      <c r="AI111" s="19"/>
      <c r="AJ111" s="19"/>
      <c r="AK111" s="19"/>
    </row>
    <row r="112" hidden="1">
      <c r="A112" s="23"/>
      <c r="B112" s="23"/>
      <c r="C112" s="23"/>
      <c r="D112" s="23"/>
      <c r="E112" s="23"/>
      <c r="F112" s="23"/>
      <c r="G112" s="34" t="s">
        <v>604</v>
      </c>
      <c r="H112" s="15" t="str">
        <f t="shared" si="2"/>
        <v>https://youtube.com/embed/vkbMBFcq3Kg</v>
      </c>
      <c r="I112" s="15" t="s">
        <v>605</v>
      </c>
      <c r="J112" s="17" t="s">
        <v>192</v>
      </c>
      <c r="K112" s="17" t="s">
        <v>114</v>
      </c>
      <c r="L112" s="37"/>
      <c r="M112" s="18"/>
      <c r="N112" s="18"/>
      <c r="O112" s="18"/>
      <c r="P112" s="18"/>
      <c r="Q112" s="19"/>
      <c r="R112" s="21"/>
      <c r="S112" s="21"/>
      <c r="T112" s="19"/>
      <c r="U112" s="19"/>
      <c r="V112" s="19"/>
      <c r="W112" s="19"/>
      <c r="X112" s="19"/>
      <c r="Y112" s="19"/>
      <c r="Z112" s="19"/>
      <c r="AA112" s="19"/>
      <c r="AB112" s="19"/>
      <c r="AC112" s="19"/>
      <c r="AD112" s="19"/>
      <c r="AE112" s="19"/>
      <c r="AF112" s="19"/>
      <c r="AG112" s="19"/>
      <c r="AH112" s="19"/>
      <c r="AI112" s="19"/>
      <c r="AJ112" s="19"/>
      <c r="AK112" s="19"/>
    </row>
    <row r="113" hidden="1">
      <c r="A113" s="27"/>
      <c r="B113" s="27"/>
      <c r="C113" s="27"/>
      <c r="D113" s="27"/>
      <c r="E113" s="27"/>
      <c r="F113" s="27"/>
      <c r="G113" s="57" t="s">
        <v>607</v>
      </c>
      <c r="H113" s="15" t="str">
        <f t="shared" si="2"/>
        <v>https://youtube.com/embed/TmsPeJtt6-I</v>
      </c>
      <c r="I113" s="15" t="s">
        <v>609</v>
      </c>
      <c r="J113" s="17" t="s">
        <v>212</v>
      </c>
      <c r="K113" s="17" t="s">
        <v>114</v>
      </c>
      <c r="L113" s="37"/>
      <c r="M113" s="18"/>
      <c r="N113" s="18"/>
      <c r="O113" s="18"/>
      <c r="P113" s="18"/>
      <c r="Q113" s="19"/>
      <c r="R113" s="21"/>
      <c r="S113" s="21"/>
      <c r="T113" s="19"/>
      <c r="U113" s="19"/>
      <c r="V113" s="19"/>
      <c r="W113" s="19"/>
      <c r="X113" s="19"/>
      <c r="Y113" s="19"/>
      <c r="Z113" s="19"/>
      <c r="AA113" s="19"/>
      <c r="AB113" s="19"/>
      <c r="AC113" s="19"/>
      <c r="AD113" s="19"/>
      <c r="AE113" s="19"/>
      <c r="AF113" s="19"/>
      <c r="AG113" s="19"/>
      <c r="AH113" s="19"/>
      <c r="AI113" s="19"/>
      <c r="AJ113" s="19"/>
      <c r="AK113" s="19"/>
    </row>
    <row r="114" hidden="1">
      <c r="A114" s="64" t="s">
        <v>610</v>
      </c>
      <c r="B114" s="26" t="str">
        <f>TRIM(MID(A114, SEARCH("- ", A114) + 2, LEN(A114)))
</f>
        <v>MEJORA DE LOS MÉTODOS Y MEDICIÓN DE LOS RECURSOS</v>
      </c>
      <c r="C114" s="13" t="s">
        <v>77</v>
      </c>
      <c r="D114" s="13" t="s">
        <v>77</v>
      </c>
      <c r="E114" s="13" t="s">
        <v>235</v>
      </c>
      <c r="F114" s="13" t="s">
        <v>77</v>
      </c>
      <c r="G114" s="57" t="s">
        <v>611</v>
      </c>
      <c r="H114" s="15" t="str">
        <f t="shared" si="2"/>
        <v>https://youtube.com/embed/-J8t1GpTXog</v>
      </c>
      <c r="I114" s="15" t="s">
        <v>613</v>
      </c>
      <c r="J114" s="17" t="str">
        <f>IFERROR(__xludf.DUMMYFUNCTION("CONCATENATE(""CLASE 0"",REGEXEXTRACT(G114,""[\d]+""))"),"CLASE 01")</f>
        <v>CLASE 01</v>
      </c>
      <c r="K114" s="17" t="s">
        <v>510</v>
      </c>
      <c r="L114" s="65" t="s">
        <v>263</v>
      </c>
      <c r="M114" s="18" t="s">
        <v>521</v>
      </c>
      <c r="N114" s="18" t="s">
        <v>507</v>
      </c>
      <c r="O114" s="18" t="s">
        <v>522</v>
      </c>
      <c r="P114" s="18">
        <v>30.0</v>
      </c>
      <c r="Q114" s="19"/>
      <c r="R114" s="21" t="s">
        <v>122</v>
      </c>
      <c r="S114" s="21" t="s">
        <v>124</v>
      </c>
      <c r="T114" s="19"/>
      <c r="U114" s="19"/>
      <c r="V114" s="19"/>
      <c r="W114" s="19"/>
      <c r="X114" s="19"/>
      <c r="Y114" s="19"/>
      <c r="Z114" s="19"/>
      <c r="AA114" s="19"/>
      <c r="AB114" s="19"/>
      <c r="AC114" s="19"/>
      <c r="AD114" s="19"/>
      <c r="AE114" s="19"/>
      <c r="AF114" s="19"/>
      <c r="AG114" s="19"/>
      <c r="AH114" s="19"/>
      <c r="AI114" s="19"/>
      <c r="AJ114" s="19"/>
      <c r="AK114" s="19"/>
    </row>
    <row r="115" hidden="1">
      <c r="A115" s="66"/>
      <c r="B115" s="23"/>
      <c r="C115" s="23"/>
      <c r="D115" s="23"/>
      <c r="E115" s="23"/>
      <c r="F115" s="23"/>
      <c r="G115" s="34" t="s">
        <v>614</v>
      </c>
      <c r="H115" s="15" t="str">
        <f t="shared" si="2"/>
        <v>https://youtube.com/embed/yFPOkT6G14I</v>
      </c>
      <c r="I115" s="15" t="s">
        <v>615</v>
      </c>
      <c r="J115" s="17" t="str">
        <f>IFERROR(__xludf.DUMMYFUNCTION("CONCATENATE(""CLASE 0"",REGEXEXTRACT(G115,""[\d]+""))"),"CLASE 02")</f>
        <v>CLASE 02</v>
      </c>
      <c r="K115" s="17" t="s">
        <v>263</v>
      </c>
      <c r="L115" s="23"/>
      <c r="M115" s="18"/>
      <c r="N115" s="18"/>
      <c r="O115" s="18"/>
      <c r="P115" s="18"/>
      <c r="Q115" s="19"/>
      <c r="R115" s="21"/>
      <c r="S115" s="21"/>
      <c r="T115" s="19"/>
      <c r="U115" s="19"/>
      <c r="V115" s="19"/>
      <c r="W115" s="19"/>
      <c r="X115" s="19"/>
      <c r="Y115" s="19"/>
      <c r="Z115" s="19"/>
      <c r="AA115" s="19"/>
      <c r="AB115" s="19"/>
      <c r="AC115" s="19"/>
      <c r="AD115" s="19"/>
      <c r="AE115" s="19"/>
      <c r="AF115" s="19"/>
      <c r="AG115" s="19"/>
      <c r="AH115" s="19"/>
      <c r="AI115" s="19"/>
      <c r="AJ115" s="19"/>
      <c r="AK115" s="19"/>
    </row>
    <row r="116" hidden="1">
      <c r="A116" s="66"/>
      <c r="B116" s="23"/>
      <c r="C116" s="23"/>
      <c r="D116" s="23"/>
      <c r="E116" s="23"/>
      <c r="F116" s="23"/>
      <c r="G116" s="34" t="s">
        <v>617</v>
      </c>
      <c r="H116" s="15" t="str">
        <f t="shared" si="2"/>
        <v>https://youtube.com/embed/kjR39tM2ayw</v>
      </c>
      <c r="I116" s="15" t="s">
        <v>618</v>
      </c>
      <c r="J116" s="17" t="str">
        <f>IFERROR(__xludf.DUMMYFUNCTION("CONCATENATE(""CLASE 0"",REGEXEXTRACT(G116,""[\d]+""))"),"CLASE 03")</f>
        <v>CLASE 03</v>
      </c>
      <c r="K116" s="17" t="s">
        <v>263</v>
      </c>
      <c r="L116" s="23"/>
      <c r="M116" s="18"/>
      <c r="N116" s="18"/>
      <c r="O116" s="18"/>
      <c r="P116" s="18"/>
      <c r="Q116" s="19"/>
      <c r="R116" s="21"/>
      <c r="S116" s="21"/>
      <c r="T116" s="19"/>
      <c r="U116" s="19"/>
      <c r="V116" s="19"/>
      <c r="W116" s="19"/>
      <c r="X116" s="19"/>
      <c r="Y116" s="19"/>
      <c r="Z116" s="19"/>
      <c r="AA116" s="19"/>
      <c r="AB116" s="19"/>
      <c r="AC116" s="19"/>
      <c r="AD116" s="19"/>
      <c r="AE116" s="19"/>
      <c r="AF116" s="19"/>
      <c r="AG116" s="19"/>
      <c r="AH116" s="19"/>
      <c r="AI116" s="19"/>
      <c r="AJ116" s="19"/>
      <c r="AK116" s="19"/>
    </row>
    <row r="117" hidden="1">
      <c r="A117" s="66"/>
      <c r="B117" s="27"/>
      <c r="C117" s="27"/>
      <c r="D117" s="27"/>
      <c r="E117" s="27"/>
      <c r="F117" s="27"/>
      <c r="G117" s="34" t="s">
        <v>621</v>
      </c>
      <c r="H117" s="15" t="str">
        <f t="shared" si="2"/>
        <v>https://youtube.com/embed/ASmOYrJU964</v>
      </c>
      <c r="I117" s="32" t="s">
        <v>622</v>
      </c>
      <c r="J117" s="17" t="str">
        <f>IFERROR(__xludf.DUMMYFUNCTION("CONCATENATE(""CLASE 0"",REGEXEXTRACT(G117,""[\d]+""))"),"CLASE 04")</f>
        <v>CLASE 04</v>
      </c>
      <c r="K117" s="17" t="s">
        <v>263</v>
      </c>
      <c r="L117" s="27"/>
      <c r="M117" s="18"/>
      <c r="N117" s="18"/>
      <c r="O117" s="18"/>
      <c r="P117" s="18"/>
      <c r="Q117" s="19"/>
      <c r="R117" s="21"/>
      <c r="S117" s="21"/>
      <c r="T117" s="19"/>
      <c r="U117" s="19"/>
      <c r="V117" s="19"/>
      <c r="W117" s="19"/>
      <c r="X117" s="19"/>
      <c r="Y117" s="19"/>
      <c r="Z117" s="19"/>
      <c r="AA117" s="19"/>
      <c r="AB117" s="19"/>
      <c r="AC117" s="19"/>
      <c r="AD117" s="19"/>
      <c r="AE117" s="19"/>
      <c r="AF117" s="19"/>
      <c r="AG117" s="19"/>
      <c r="AH117" s="19"/>
      <c r="AI117" s="19"/>
      <c r="AJ117" s="19"/>
      <c r="AK117" s="19"/>
    </row>
    <row r="118" hidden="1">
      <c r="A118" s="64" t="s">
        <v>623</v>
      </c>
      <c r="B118" s="26" t="str">
        <f>TRIM(MID(A118, SEARCH("- ", A118) + 2, LEN(A118)))
</f>
        <v>INTRODUCCIÓN A LA GESTIÓN DE PROYECTOS</v>
      </c>
      <c r="C118" s="13" t="s">
        <v>77</v>
      </c>
      <c r="D118" s="13" t="s">
        <v>77</v>
      </c>
      <c r="E118" s="13" t="s">
        <v>235</v>
      </c>
      <c r="F118" s="13" t="s">
        <v>77</v>
      </c>
      <c r="G118" s="34" t="s">
        <v>625</v>
      </c>
      <c r="H118" s="15" t="str">
        <f t="shared" si="2"/>
        <v>https://youtube.com/embed/DRQa8OGwsCg</v>
      </c>
      <c r="I118" s="15" t="s">
        <v>626</v>
      </c>
      <c r="J118" s="17" t="str">
        <f>IFERROR(__xludf.DUMMYFUNCTION("CONCATENATE(""CLASE 0"",REGEXEXTRACT(G118,""[\d]+""))"),"CLASE 01")</f>
        <v>CLASE 01</v>
      </c>
      <c r="K118" s="17" t="s">
        <v>263</v>
      </c>
      <c r="L118" s="65" t="s">
        <v>263</v>
      </c>
      <c r="M118" s="18" t="s">
        <v>521</v>
      </c>
      <c r="N118" s="18" t="s">
        <v>507</v>
      </c>
      <c r="O118" s="18" t="s">
        <v>522</v>
      </c>
      <c r="P118" s="18">
        <v>30.0</v>
      </c>
      <c r="Q118" s="19"/>
      <c r="R118" s="21" t="s">
        <v>122</v>
      </c>
      <c r="S118" s="21" t="s">
        <v>124</v>
      </c>
      <c r="T118" s="19"/>
      <c r="U118" s="19"/>
      <c r="V118" s="19"/>
      <c r="W118" s="19"/>
      <c r="X118" s="19"/>
      <c r="Y118" s="19"/>
      <c r="Z118" s="19"/>
      <c r="AA118" s="19"/>
      <c r="AB118" s="19"/>
      <c r="AC118" s="19"/>
      <c r="AD118" s="19"/>
      <c r="AE118" s="19"/>
      <c r="AF118" s="19"/>
      <c r="AG118" s="19"/>
      <c r="AH118" s="19"/>
      <c r="AI118" s="19"/>
      <c r="AJ118" s="19"/>
      <c r="AK118" s="19"/>
    </row>
    <row r="119" hidden="1">
      <c r="A119" s="66"/>
      <c r="B119" s="23"/>
      <c r="C119" s="23"/>
      <c r="D119" s="23"/>
      <c r="E119" s="23"/>
      <c r="F119" s="23"/>
      <c r="G119" s="57" t="s">
        <v>628</v>
      </c>
      <c r="H119" s="15" t="str">
        <f t="shared" si="2"/>
        <v>https://www.youtube.com/embed/5QfpFKXkod8</v>
      </c>
      <c r="I119" s="15" t="s">
        <v>630</v>
      </c>
      <c r="J119" s="17" t="str">
        <f>IFERROR(__xludf.DUMMYFUNCTION("CONCATENATE(""CLASE 0"",REGEXEXTRACT(G119,""[\d]+""))"),"CLASE 02")</f>
        <v>CLASE 02</v>
      </c>
      <c r="K119" s="17" t="s">
        <v>263</v>
      </c>
      <c r="L119" s="23"/>
      <c r="M119" s="18"/>
      <c r="N119" s="18"/>
      <c r="O119" s="18"/>
      <c r="P119" s="18"/>
      <c r="Q119" s="19"/>
      <c r="R119" s="21"/>
      <c r="S119" s="21"/>
      <c r="T119" s="19"/>
      <c r="U119" s="19"/>
      <c r="V119" s="19"/>
      <c r="W119" s="19"/>
      <c r="X119" s="19"/>
      <c r="Y119" s="19"/>
      <c r="Z119" s="19"/>
      <c r="AA119" s="19"/>
      <c r="AB119" s="19"/>
      <c r="AC119" s="19"/>
      <c r="AD119" s="19"/>
      <c r="AE119" s="19"/>
      <c r="AF119" s="19"/>
      <c r="AG119" s="19"/>
      <c r="AH119" s="19"/>
      <c r="AI119" s="19"/>
      <c r="AJ119" s="19"/>
      <c r="AK119" s="19"/>
    </row>
    <row r="120" hidden="1">
      <c r="A120" s="66"/>
      <c r="B120" s="23"/>
      <c r="C120" s="23"/>
      <c r="D120" s="23"/>
      <c r="E120" s="23"/>
      <c r="F120" s="23"/>
      <c r="G120" s="34" t="s">
        <v>631</v>
      </c>
      <c r="H120" s="15" t="str">
        <f t="shared" si="2"/>
        <v>https://youtube.com/embed/GL8EbzyF4ck</v>
      </c>
      <c r="I120" s="15" t="s">
        <v>633</v>
      </c>
      <c r="J120" s="17" t="str">
        <f>IFERROR(__xludf.DUMMYFUNCTION("CONCATENATE(""CLASE 0"",REGEXEXTRACT(G120,""[\d]+""))"),"CLASE 03")</f>
        <v>CLASE 03</v>
      </c>
      <c r="K120" s="17" t="s">
        <v>263</v>
      </c>
      <c r="L120" s="23"/>
      <c r="M120" s="18"/>
      <c r="N120" s="18"/>
      <c r="O120" s="18"/>
      <c r="P120" s="18"/>
      <c r="Q120" s="19"/>
      <c r="R120" s="21"/>
      <c r="S120" s="21"/>
      <c r="T120" s="19"/>
      <c r="U120" s="19"/>
      <c r="V120" s="19"/>
      <c r="W120" s="19"/>
      <c r="X120" s="19"/>
      <c r="Y120" s="19"/>
      <c r="Z120" s="19"/>
      <c r="AA120" s="19"/>
      <c r="AB120" s="19"/>
      <c r="AC120" s="19"/>
      <c r="AD120" s="19"/>
      <c r="AE120" s="19"/>
      <c r="AF120" s="19"/>
      <c r="AG120" s="19"/>
      <c r="AH120" s="19"/>
      <c r="AI120" s="19"/>
      <c r="AJ120" s="19"/>
      <c r="AK120" s="19"/>
    </row>
    <row r="121" hidden="1">
      <c r="A121" s="66"/>
      <c r="B121" s="27"/>
      <c r="C121" s="27"/>
      <c r="D121" s="27"/>
      <c r="E121" s="27"/>
      <c r="F121" s="27"/>
      <c r="G121" s="34" t="s">
        <v>634</v>
      </c>
      <c r="H121" s="15" t="str">
        <f t="shared" si="2"/>
        <v>https://youtube.com/embed/QO3y3kPZzgs</v>
      </c>
      <c r="I121" s="15" t="s">
        <v>636</v>
      </c>
      <c r="J121" s="17" t="str">
        <f>IFERROR(__xludf.DUMMYFUNCTION("CONCATENATE(""CLASE 0"",REGEXEXTRACT(G121,""[\d]+""))"),"CLASE 04")</f>
        <v>CLASE 04</v>
      </c>
      <c r="K121" s="17" t="s">
        <v>263</v>
      </c>
      <c r="L121" s="27"/>
      <c r="M121" s="18"/>
      <c r="N121" s="18"/>
      <c r="O121" s="18"/>
      <c r="P121" s="18"/>
      <c r="Q121" s="19"/>
      <c r="R121" s="21"/>
      <c r="S121" s="21"/>
      <c r="T121" s="19"/>
      <c r="U121" s="19"/>
      <c r="V121" s="19"/>
      <c r="W121" s="19"/>
      <c r="X121" s="19"/>
      <c r="Y121" s="19"/>
      <c r="Z121" s="19"/>
      <c r="AA121" s="19"/>
      <c r="AB121" s="19"/>
      <c r="AC121" s="19"/>
      <c r="AD121" s="19"/>
      <c r="AE121" s="19"/>
      <c r="AF121" s="19"/>
      <c r="AG121" s="19"/>
      <c r="AH121" s="19"/>
      <c r="AI121" s="19"/>
      <c r="AJ121" s="19"/>
      <c r="AK121" s="19"/>
    </row>
    <row r="122">
      <c r="A122" s="50" t="s">
        <v>637</v>
      </c>
      <c r="B122" s="26" t="str">
        <f>TRIM(MID(A122, SEARCH("- ", A122) + 2, LEN(A122)))
</f>
        <v>ARQUITECTURA DE DATOS: LA IMPORTANCIA DEL DISEÑO, COMPONENTES, FUNCIÓN, CONFIGURACIÓN Y PATRONES</v>
      </c>
      <c r="C122" s="13" t="s">
        <v>77</v>
      </c>
      <c r="D122" s="13"/>
      <c r="E122" s="13" t="s">
        <v>235</v>
      </c>
      <c r="F122" s="13" t="s">
        <v>77</v>
      </c>
      <c r="G122" s="67" t="s">
        <v>639</v>
      </c>
      <c r="H122" s="15" t="str">
        <f t="shared" si="2"/>
        <v>https://youtube.com/embed/Sq9R4XgMZCU</v>
      </c>
      <c r="I122" s="15" t="s">
        <v>640</v>
      </c>
      <c r="J122" s="17" t="s">
        <v>170</v>
      </c>
      <c r="K122" s="17" t="s">
        <v>263</v>
      </c>
      <c r="L122" s="60" t="str">
        <f>"COMIENZA DICIENDO QUE ES EL RESUMEN DEL CURSO " &amp; B122 &amp; " DE EDUMIN, LUEGO HAZ EL RESUMEN Y FINALIZA INVITANDO A VER EL RESTO DE RECURSOS DE LAS ZONAS DE EDUMIN."</f>
        <v>COMIENZA DICIENDO QUE ES EL RESUMEN DEL CURSO ARQUITECTURA DE DATOS: LA IMPORTANCIA DEL DISEÑO, COMPONENTES, FUNCIÓN, CONFIGURACIÓN Y PATRONES DE EDUMIN, LUEGO HAZ EL RESUMEN Y FINALIZA INVITANDO A VER EL RESTO DE RECURSOS DE LAS ZONAS DE EDUMIN.</v>
      </c>
      <c r="M122" s="18" t="s">
        <v>642</v>
      </c>
      <c r="N122" s="18" t="s">
        <v>643</v>
      </c>
      <c r="O122" s="18" t="s">
        <v>644</v>
      </c>
      <c r="P122" s="18">
        <v>30.0</v>
      </c>
      <c r="Q122" s="19"/>
      <c r="R122" s="21" t="s">
        <v>122</v>
      </c>
      <c r="S122" s="21" t="s">
        <v>124</v>
      </c>
      <c r="T122" s="19"/>
      <c r="U122" s="19"/>
      <c r="V122" s="19"/>
      <c r="W122" s="19"/>
      <c r="X122" s="19"/>
      <c r="Y122" s="19"/>
      <c r="Z122" s="19"/>
      <c r="AA122" s="19"/>
      <c r="AB122" s="19"/>
      <c r="AC122" s="19"/>
      <c r="AD122" s="19"/>
      <c r="AE122" s="19"/>
      <c r="AF122" s="19"/>
      <c r="AG122" s="19"/>
      <c r="AH122" s="19"/>
      <c r="AI122" s="19"/>
      <c r="AJ122" s="19"/>
      <c r="AK122" s="19"/>
    </row>
    <row r="123">
      <c r="A123" s="23"/>
      <c r="B123" s="23"/>
      <c r="C123" s="23"/>
      <c r="D123" s="23"/>
      <c r="E123" s="23"/>
      <c r="F123" s="23"/>
      <c r="G123" s="67" t="s">
        <v>645</v>
      </c>
      <c r="H123" s="15" t="str">
        <f t="shared" si="2"/>
        <v>https://youtube.com/embed/O51p2hacKno</v>
      </c>
      <c r="I123" s="15" t="s">
        <v>646</v>
      </c>
      <c r="J123" s="17" t="s">
        <v>185</v>
      </c>
      <c r="K123" s="17" t="s">
        <v>263</v>
      </c>
      <c r="L123" s="17" t="s">
        <v>510</v>
      </c>
      <c r="M123" s="18"/>
      <c r="N123" s="18"/>
      <c r="O123" s="18"/>
      <c r="P123" s="18"/>
      <c r="Q123" s="19"/>
      <c r="R123" s="21"/>
      <c r="S123" s="21"/>
      <c r="T123" s="19"/>
      <c r="U123" s="19"/>
      <c r="V123" s="19"/>
      <c r="W123" s="19"/>
      <c r="X123" s="19"/>
      <c r="Y123" s="19"/>
      <c r="Z123" s="19"/>
      <c r="AA123" s="19"/>
      <c r="AB123" s="19"/>
      <c r="AC123" s="19"/>
      <c r="AD123" s="19"/>
      <c r="AE123" s="19"/>
      <c r="AF123" s="19"/>
      <c r="AG123" s="19"/>
      <c r="AH123" s="19"/>
      <c r="AI123" s="19"/>
      <c r="AJ123" s="19"/>
      <c r="AK123" s="19"/>
    </row>
    <row r="124">
      <c r="A124" s="23"/>
      <c r="B124" s="23"/>
      <c r="C124" s="23"/>
      <c r="D124" s="23"/>
      <c r="E124" s="23"/>
      <c r="F124" s="23"/>
      <c r="G124" s="67" t="s">
        <v>648</v>
      </c>
      <c r="H124" s="15" t="str">
        <f t="shared" si="2"/>
        <v>https://youtube.com/embed/eTGJR9dFGYs</v>
      </c>
      <c r="I124" s="15" t="s">
        <v>649</v>
      </c>
      <c r="J124" s="17" t="s">
        <v>192</v>
      </c>
      <c r="K124" s="17" t="s">
        <v>263</v>
      </c>
      <c r="L124" s="18"/>
      <c r="M124" s="18"/>
      <c r="N124" s="18"/>
      <c r="O124" s="18"/>
      <c r="P124" s="18"/>
      <c r="Q124" s="19"/>
      <c r="R124" s="21"/>
      <c r="S124" s="21"/>
      <c r="T124" s="19"/>
      <c r="U124" s="19"/>
      <c r="V124" s="19"/>
      <c r="W124" s="19"/>
      <c r="X124" s="19"/>
      <c r="Y124" s="19"/>
      <c r="Z124" s="19"/>
      <c r="AA124" s="19"/>
      <c r="AB124" s="19"/>
      <c r="AC124" s="19"/>
      <c r="AD124" s="19"/>
      <c r="AE124" s="19"/>
      <c r="AF124" s="19"/>
      <c r="AG124" s="19"/>
      <c r="AH124" s="19"/>
      <c r="AI124" s="19"/>
      <c r="AJ124" s="19"/>
      <c r="AK124" s="19"/>
    </row>
    <row r="125">
      <c r="A125" s="27"/>
      <c r="B125" s="27"/>
      <c r="C125" s="27"/>
      <c r="D125" s="27"/>
      <c r="E125" s="27"/>
      <c r="F125" s="27"/>
      <c r="G125" s="67" t="s">
        <v>651</v>
      </c>
      <c r="H125" s="15" t="str">
        <f t="shared" si="2"/>
        <v>https://youtube.com/embed/q3mJ97iNiU0</v>
      </c>
      <c r="I125" s="15" t="s">
        <v>652</v>
      </c>
      <c r="J125" s="17" t="s">
        <v>212</v>
      </c>
      <c r="K125" s="17" t="s">
        <v>263</v>
      </c>
      <c r="L125" s="18"/>
      <c r="M125" s="18"/>
      <c r="N125" s="18"/>
      <c r="O125" s="18"/>
      <c r="P125" s="18"/>
      <c r="Q125" s="19"/>
      <c r="R125" s="21"/>
      <c r="S125" s="21"/>
      <c r="T125" s="19"/>
      <c r="U125" s="19"/>
      <c r="V125" s="19"/>
      <c r="W125" s="19"/>
      <c r="X125" s="19"/>
      <c r="Y125" s="19"/>
      <c r="Z125" s="19"/>
      <c r="AA125" s="19"/>
      <c r="AB125" s="19"/>
      <c r="AC125" s="19"/>
      <c r="AD125" s="19"/>
      <c r="AE125" s="19"/>
      <c r="AF125" s="19"/>
      <c r="AG125" s="19"/>
      <c r="AH125" s="19"/>
      <c r="AI125" s="19"/>
      <c r="AJ125" s="19"/>
      <c r="AK125" s="19"/>
    </row>
    <row r="126">
      <c r="A126" s="50" t="s">
        <v>653</v>
      </c>
      <c r="B126" s="26" t="str">
        <f>TRIM(MID(A126, SEARCH("- ", A126) + 2, LEN(A126)))
</f>
        <v>ECOSISTEMA BIG DATA: HERRAMIENTAS Y TECNOLOGÍAS ESENCIALES</v>
      </c>
      <c r="C126" s="13" t="s">
        <v>77</v>
      </c>
      <c r="D126" s="13"/>
      <c r="E126" s="13" t="s">
        <v>235</v>
      </c>
      <c r="F126" s="13" t="s">
        <v>77</v>
      </c>
      <c r="G126" s="67" t="s">
        <v>655</v>
      </c>
      <c r="H126" s="15" t="str">
        <f t="shared" si="2"/>
        <v>https://youtube.com/embed/j-4sVmTg4Bg</v>
      </c>
      <c r="I126" s="15" t="s">
        <v>656</v>
      </c>
      <c r="J126" s="17" t="s">
        <v>170</v>
      </c>
      <c r="K126" s="17" t="s">
        <v>263</v>
      </c>
      <c r="L126" s="60" t="str">
        <f>"COMIENZA DICIENDO QUE ES EL RESUMEN DEL CURSO " &amp; B126 &amp; " DE EDUMIN, LUEGO HAZ EL RESUMEN Y FINALIZA INVITANDO A VER EL RESTO DE RECURSOS DE LAS ZONAS DE EDUMIN."</f>
        <v>COMIENZA DICIENDO QUE ES EL RESUMEN DEL CURSO ECOSISTEMA BIG DATA: HERRAMIENTAS Y TECNOLOGÍAS ESENCIALES DE EDUMIN, LUEGO HAZ EL RESUMEN Y FINALIZA INVITANDO A VER EL RESTO DE RECURSOS DE LAS ZONAS DE EDUMIN.</v>
      </c>
      <c r="M126" s="18" t="s">
        <v>658</v>
      </c>
      <c r="N126" s="18" t="s">
        <v>659</v>
      </c>
      <c r="O126" s="18" t="s">
        <v>643</v>
      </c>
      <c r="P126" s="18">
        <v>30.0</v>
      </c>
      <c r="Q126" s="19"/>
      <c r="R126" s="21" t="s">
        <v>122</v>
      </c>
      <c r="S126" s="21" t="s">
        <v>124</v>
      </c>
      <c r="T126" s="19"/>
      <c r="U126" s="19"/>
      <c r="V126" s="19"/>
      <c r="W126" s="19"/>
      <c r="X126" s="19"/>
      <c r="Y126" s="19"/>
      <c r="Z126" s="19"/>
      <c r="AA126" s="19"/>
      <c r="AB126" s="19"/>
      <c r="AC126" s="19"/>
      <c r="AD126" s="19"/>
      <c r="AE126" s="19"/>
      <c r="AF126" s="19"/>
      <c r="AG126" s="19"/>
      <c r="AH126" s="19"/>
      <c r="AI126" s="19"/>
      <c r="AJ126" s="19"/>
      <c r="AK126" s="19"/>
    </row>
    <row r="127">
      <c r="A127" s="23"/>
      <c r="B127" s="23"/>
      <c r="C127" s="23"/>
      <c r="D127" s="23"/>
      <c r="E127" s="23"/>
      <c r="F127" s="23"/>
      <c r="G127" s="67" t="s">
        <v>660</v>
      </c>
      <c r="H127" s="15" t="str">
        <f t="shared" si="2"/>
        <v>https://youtube.com/embed/5TkpFvGchEM</v>
      </c>
      <c r="I127" s="15" t="s">
        <v>661</v>
      </c>
      <c r="J127" s="17" t="s">
        <v>185</v>
      </c>
      <c r="K127" s="17" t="s">
        <v>263</v>
      </c>
      <c r="L127" s="17" t="s">
        <v>510</v>
      </c>
      <c r="M127" s="18"/>
      <c r="N127" s="18"/>
      <c r="O127" s="18"/>
      <c r="P127" s="18"/>
      <c r="Q127" s="19"/>
      <c r="R127" s="21"/>
      <c r="S127" s="21"/>
      <c r="T127" s="19"/>
      <c r="U127" s="19"/>
      <c r="V127" s="19"/>
      <c r="W127" s="19"/>
      <c r="X127" s="19"/>
      <c r="Y127" s="19"/>
      <c r="Z127" s="19"/>
      <c r="AA127" s="19"/>
      <c r="AB127" s="19"/>
      <c r="AC127" s="19"/>
      <c r="AD127" s="19"/>
      <c r="AE127" s="19"/>
      <c r="AF127" s="19"/>
      <c r="AG127" s="19"/>
      <c r="AH127" s="19"/>
      <c r="AI127" s="19"/>
      <c r="AJ127" s="19"/>
      <c r="AK127" s="19"/>
    </row>
    <row r="128">
      <c r="A128" s="23"/>
      <c r="B128" s="23"/>
      <c r="C128" s="23"/>
      <c r="D128" s="23"/>
      <c r="E128" s="23"/>
      <c r="F128" s="23"/>
      <c r="G128" s="67" t="s">
        <v>662</v>
      </c>
      <c r="H128" s="15" t="str">
        <f t="shared" si="2"/>
        <v>https://youtube.com/embed/vthtLc8S5Lk</v>
      </c>
      <c r="I128" s="15" t="s">
        <v>663</v>
      </c>
      <c r="J128" s="17" t="s">
        <v>192</v>
      </c>
      <c r="K128" s="17" t="s">
        <v>263</v>
      </c>
      <c r="L128" s="18"/>
      <c r="M128" s="18"/>
      <c r="N128" s="18"/>
      <c r="O128" s="18"/>
      <c r="P128" s="18"/>
      <c r="Q128" s="19"/>
      <c r="R128" s="21"/>
      <c r="S128" s="21"/>
      <c r="T128" s="19"/>
      <c r="U128" s="19"/>
      <c r="V128" s="19"/>
      <c r="W128" s="19"/>
      <c r="X128" s="19"/>
      <c r="Y128" s="19"/>
      <c r="Z128" s="19"/>
      <c r="AA128" s="19"/>
      <c r="AB128" s="19"/>
      <c r="AC128" s="19"/>
      <c r="AD128" s="19"/>
      <c r="AE128" s="19"/>
      <c r="AF128" s="19"/>
      <c r="AG128" s="19"/>
      <c r="AH128" s="19"/>
      <c r="AI128" s="19"/>
      <c r="AJ128" s="19"/>
      <c r="AK128" s="19"/>
    </row>
    <row r="129">
      <c r="A129" s="27"/>
      <c r="B129" s="27"/>
      <c r="C129" s="27"/>
      <c r="D129" s="27"/>
      <c r="E129" s="27"/>
      <c r="F129" s="27"/>
      <c r="G129" s="67" t="s">
        <v>665</v>
      </c>
      <c r="H129" s="15" t="str">
        <f t="shared" si="2"/>
        <v>https://youtube.com/embed/ypqvFWMQgHU</v>
      </c>
      <c r="I129" s="15" t="s">
        <v>666</v>
      </c>
      <c r="J129" s="17" t="s">
        <v>212</v>
      </c>
      <c r="K129" s="17" t="s">
        <v>263</v>
      </c>
      <c r="L129" s="18"/>
      <c r="M129" s="18"/>
      <c r="N129" s="18"/>
      <c r="O129" s="18"/>
      <c r="P129" s="18"/>
      <c r="Q129" s="19"/>
      <c r="R129" s="21"/>
      <c r="S129" s="21"/>
      <c r="T129" s="19"/>
      <c r="U129" s="19"/>
      <c r="V129" s="19"/>
      <c r="W129" s="19"/>
      <c r="X129" s="19"/>
      <c r="Y129" s="19"/>
      <c r="Z129" s="19"/>
      <c r="AA129" s="19"/>
      <c r="AB129" s="19"/>
      <c r="AC129" s="19"/>
      <c r="AD129" s="19"/>
      <c r="AE129" s="19"/>
      <c r="AF129" s="19"/>
      <c r="AG129" s="19"/>
      <c r="AH129" s="19"/>
      <c r="AI129" s="19"/>
      <c r="AJ129" s="19"/>
      <c r="AK129" s="19"/>
    </row>
    <row r="130">
      <c r="A130" s="50" t="s">
        <v>667</v>
      </c>
      <c r="B130" s="26" t="str">
        <f>TRIM(MID(A130, SEARCH("- ", A130) + 2, LEN(A130)))
</f>
        <v>INTRODUCCIÓN A MACHINE LEARNING PARA BIG DATA</v>
      </c>
      <c r="C130" s="13" t="s">
        <v>77</v>
      </c>
      <c r="D130" s="13"/>
      <c r="E130" s="13" t="s">
        <v>65</v>
      </c>
      <c r="F130" s="13" t="s">
        <v>77</v>
      </c>
      <c r="G130" s="68" t="s">
        <v>670</v>
      </c>
      <c r="H130" s="15" t="str">
        <f t="shared" si="2"/>
        <v>https://youtube.com/embed/pRsYzX1HU68</v>
      </c>
      <c r="I130" s="15" t="s">
        <v>671</v>
      </c>
      <c r="J130" s="17" t="s">
        <v>170</v>
      </c>
      <c r="K130" s="17" t="s">
        <v>263</v>
      </c>
      <c r="L130" s="60" t="str">
        <f>"COMIENZA DICIENDO QUE ES EL RESUMEN DEL CURSO " &amp; B130 &amp; " DE EDUMIN, LUEGO HAZ EL RESUMEN Y FINALIZA INVITANDO A VER EL RESTO DE RECURSOS DE LAS ZONAS DE EDUMIN."</f>
        <v>COMIENZA DICIENDO QUE ES EL RESUMEN DEL CURSO INTRODUCCIÓN A MACHINE LEARNING PARA BIG DATA DE EDUMIN, LUEGO HAZ EL RESUMEN Y FINALIZA INVITANDO A VER EL RESTO DE RECURSOS DE LAS ZONAS DE EDUMIN.</v>
      </c>
      <c r="M130" s="18" t="s">
        <v>642</v>
      </c>
      <c r="N130" s="18" t="s">
        <v>643</v>
      </c>
      <c r="O130" s="18" t="s">
        <v>644</v>
      </c>
      <c r="P130" s="18">
        <v>30.0</v>
      </c>
      <c r="Q130" s="19"/>
      <c r="R130" s="21" t="s">
        <v>122</v>
      </c>
      <c r="S130" s="21" t="s">
        <v>124</v>
      </c>
      <c r="T130" s="19"/>
      <c r="U130" s="19"/>
      <c r="V130" s="19"/>
      <c r="W130" s="19"/>
      <c r="X130" s="19"/>
      <c r="Y130" s="19"/>
      <c r="Z130" s="19"/>
      <c r="AA130" s="19"/>
      <c r="AB130" s="19"/>
      <c r="AC130" s="19"/>
      <c r="AD130" s="19"/>
      <c r="AE130" s="19"/>
      <c r="AF130" s="19"/>
      <c r="AG130" s="19"/>
      <c r="AH130" s="19"/>
      <c r="AI130" s="19"/>
      <c r="AJ130" s="19"/>
      <c r="AK130" s="19"/>
    </row>
    <row r="131">
      <c r="A131" s="23"/>
      <c r="B131" s="23"/>
      <c r="C131" s="23"/>
      <c r="D131" s="23"/>
      <c r="E131" s="23"/>
      <c r="F131" s="23"/>
      <c r="G131" s="69" t="s">
        <v>673</v>
      </c>
      <c r="H131" s="15" t="str">
        <f t="shared" si="2"/>
        <v>https://youtube.com/embed/cvNbOE_UfuU</v>
      </c>
      <c r="I131" s="15" t="s">
        <v>674</v>
      </c>
      <c r="J131" s="17" t="s">
        <v>185</v>
      </c>
      <c r="K131" s="17" t="s">
        <v>263</v>
      </c>
      <c r="L131" s="17" t="s">
        <v>510</v>
      </c>
      <c r="M131" s="18"/>
      <c r="N131" s="18"/>
      <c r="O131" s="18"/>
      <c r="P131" s="18"/>
      <c r="Q131" s="19"/>
      <c r="R131" s="21"/>
      <c r="S131" s="21"/>
      <c r="T131" s="19"/>
      <c r="U131" s="19"/>
      <c r="V131" s="19"/>
      <c r="W131" s="19"/>
      <c r="X131" s="19"/>
      <c r="Y131" s="19"/>
      <c r="Z131" s="19"/>
      <c r="AA131" s="19"/>
      <c r="AB131" s="19"/>
      <c r="AC131" s="19"/>
      <c r="AD131" s="19"/>
      <c r="AE131" s="19"/>
      <c r="AF131" s="19"/>
      <c r="AG131" s="19"/>
      <c r="AH131" s="19"/>
      <c r="AI131" s="19"/>
      <c r="AJ131" s="19"/>
      <c r="AK131" s="19"/>
    </row>
    <row r="132">
      <c r="A132" s="23"/>
      <c r="B132" s="23"/>
      <c r="C132" s="23"/>
      <c r="D132" s="23"/>
      <c r="E132" s="23"/>
      <c r="F132" s="23"/>
      <c r="G132" s="69" t="s">
        <v>676</v>
      </c>
      <c r="H132" s="15" t="str">
        <f t="shared" si="2"/>
        <v>https://youtube.com/embed/m7zFyn-BtKs</v>
      </c>
      <c r="I132" s="15" t="s">
        <v>677</v>
      </c>
      <c r="J132" s="17" t="s">
        <v>192</v>
      </c>
      <c r="K132" s="17" t="s">
        <v>263</v>
      </c>
      <c r="L132" s="18"/>
      <c r="M132" s="18"/>
      <c r="N132" s="18"/>
      <c r="O132" s="18"/>
      <c r="P132" s="18"/>
      <c r="Q132" s="19"/>
      <c r="R132" s="21"/>
      <c r="S132" s="21"/>
      <c r="T132" s="19"/>
      <c r="U132" s="19"/>
      <c r="V132" s="19"/>
      <c r="W132" s="19"/>
      <c r="X132" s="19"/>
      <c r="Y132" s="19"/>
      <c r="Z132" s="19"/>
      <c r="AA132" s="19"/>
      <c r="AB132" s="19"/>
      <c r="AC132" s="19"/>
      <c r="AD132" s="19"/>
      <c r="AE132" s="19"/>
      <c r="AF132" s="19"/>
      <c r="AG132" s="19"/>
      <c r="AH132" s="19"/>
      <c r="AI132" s="19"/>
      <c r="AJ132" s="19"/>
      <c r="AK132" s="19"/>
    </row>
    <row r="133">
      <c r="A133" s="27"/>
      <c r="B133" s="27"/>
      <c r="C133" s="27"/>
      <c r="D133" s="27"/>
      <c r="E133" s="27"/>
      <c r="F133" s="27"/>
      <c r="G133" s="61" t="s">
        <v>679</v>
      </c>
      <c r="H133" s="15" t="str">
        <f t="shared" si="2"/>
        <v>https://youtube.com/embed/l1PKRWjuX98</v>
      </c>
      <c r="I133" s="15" t="s">
        <v>680</v>
      </c>
      <c r="J133" s="17" t="s">
        <v>212</v>
      </c>
      <c r="K133" s="17" t="s">
        <v>263</v>
      </c>
      <c r="L133" s="18"/>
      <c r="M133" s="18"/>
      <c r="N133" s="18"/>
      <c r="O133" s="18"/>
      <c r="P133" s="18"/>
      <c r="Q133" s="19"/>
      <c r="R133" s="21"/>
      <c r="S133" s="21"/>
      <c r="T133" s="19"/>
      <c r="U133" s="19"/>
      <c r="V133" s="19"/>
      <c r="W133" s="19"/>
      <c r="X133" s="19"/>
      <c r="Y133" s="19"/>
      <c r="Z133" s="19"/>
      <c r="AA133" s="19"/>
      <c r="AB133" s="19"/>
      <c r="AC133" s="19"/>
      <c r="AD133" s="19"/>
      <c r="AE133" s="19"/>
      <c r="AF133" s="19"/>
      <c r="AG133" s="19"/>
      <c r="AH133" s="19"/>
      <c r="AI133" s="19"/>
      <c r="AJ133" s="19"/>
      <c r="AK133" s="19"/>
    </row>
    <row r="134">
      <c r="A134" s="50" t="s">
        <v>682</v>
      </c>
      <c r="B134" s="26" t="str">
        <f>TRIM(MID(A134, SEARCH("- ", A134) + 2, LEN(A134)))
</f>
        <v>PROYECTOS CON HERRAMIENTAS DIGITALES PARA MINERÍA</v>
      </c>
      <c r="C134" s="13" t="s">
        <v>77</v>
      </c>
      <c r="D134" s="13"/>
      <c r="E134" s="70" t="s">
        <v>57</v>
      </c>
      <c r="F134" s="13" t="s">
        <v>77</v>
      </c>
      <c r="G134" s="34" t="s">
        <v>684</v>
      </c>
      <c r="H134" s="15" t="str">
        <f t="shared" si="2"/>
        <v>https://youtube.com/embed/SlSMOt9WP5s</v>
      </c>
      <c r="I134" s="15" t="s">
        <v>685</v>
      </c>
      <c r="J134" s="17" t="s">
        <v>170</v>
      </c>
      <c r="K134" s="17" t="s">
        <v>263</v>
      </c>
      <c r="L134" s="60" t="str">
        <f>"COMIENZA DICIENDO QUE ES EL RESUMEN DEL CURSO " &amp; B134 &amp; " DE EDUMIN, LUEGO HAZ EL RESUMEN Y FINALIZA INVITANDO A VER EL RESTO DE RECURSOS DE LAS ZONAS DE EDUMIN."</f>
        <v>COMIENZA DICIENDO QUE ES EL RESUMEN DEL CURSO PROYECTOS CON HERRAMIENTAS DIGITALES PARA MINERÍA DE EDUMIN, LUEGO HAZ EL RESUMEN Y FINALIZA INVITANDO A VER EL RESTO DE RECURSOS DE LAS ZONAS DE EDUMIN.</v>
      </c>
      <c r="M134" s="18" t="s">
        <v>642</v>
      </c>
      <c r="N134" s="18" t="s">
        <v>643</v>
      </c>
      <c r="O134" s="18" t="s">
        <v>644</v>
      </c>
      <c r="P134" s="18">
        <v>30.0</v>
      </c>
      <c r="Q134" s="19"/>
      <c r="R134" s="21" t="s">
        <v>122</v>
      </c>
      <c r="S134" s="21" t="s">
        <v>124</v>
      </c>
      <c r="T134" s="19"/>
      <c r="U134" s="19"/>
      <c r="V134" s="19"/>
      <c r="W134" s="19"/>
      <c r="X134" s="19"/>
      <c r="Y134" s="19"/>
      <c r="Z134" s="19"/>
      <c r="AA134" s="19"/>
      <c r="AB134" s="19"/>
      <c r="AC134" s="19"/>
      <c r="AD134" s="19"/>
      <c r="AE134" s="19"/>
      <c r="AF134" s="19"/>
      <c r="AG134" s="19"/>
      <c r="AH134" s="19"/>
      <c r="AI134" s="19"/>
      <c r="AJ134" s="19"/>
      <c r="AK134" s="19"/>
    </row>
    <row r="135">
      <c r="A135" s="23"/>
      <c r="B135" s="23"/>
      <c r="C135" s="23"/>
      <c r="D135" s="23"/>
      <c r="E135" s="23"/>
      <c r="F135" s="23"/>
      <c r="G135" s="34" t="s">
        <v>686</v>
      </c>
      <c r="H135" s="15" t="str">
        <f t="shared" si="2"/>
        <v>https://youtube.com/embed/LFiqv1kn2rA</v>
      </c>
      <c r="I135" s="15" t="s">
        <v>687</v>
      </c>
      <c r="J135" s="17" t="s">
        <v>185</v>
      </c>
      <c r="K135" s="17" t="s">
        <v>263</v>
      </c>
      <c r="L135" s="17" t="s">
        <v>510</v>
      </c>
      <c r="M135" s="18"/>
      <c r="N135" s="18"/>
      <c r="O135" s="18"/>
      <c r="P135" s="18"/>
      <c r="Q135" s="19"/>
      <c r="R135" s="21"/>
      <c r="S135" s="21"/>
      <c r="T135" s="19"/>
      <c r="U135" s="19"/>
      <c r="V135" s="19"/>
      <c r="W135" s="19"/>
      <c r="X135" s="19"/>
      <c r="Y135" s="19"/>
      <c r="Z135" s="19"/>
      <c r="AA135" s="19"/>
      <c r="AB135" s="19"/>
      <c r="AC135" s="19"/>
      <c r="AD135" s="19"/>
      <c r="AE135" s="19"/>
      <c r="AF135" s="19"/>
      <c r="AG135" s="19"/>
      <c r="AH135" s="19"/>
      <c r="AI135" s="19"/>
      <c r="AJ135" s="19"/>
      <c r="AK135" s="19"/>
    </row>
    <row r="136">
      <c r="A136" s="23"/>
      <c r="B136" s="23"/>
      <c r="C136" s="23"/>
      <c r="D136" s="23"/>
      <c r="E136" s="23"/>
      <c r="F136" s="23"/>
      <c r="G136" s="34" t="s">
        <v>689</v>
      </c>
      <c r="H136" s="15" t="str">
        <f t="shared" si="2"/>
        <v>https://youtube.com/embed/gUL83cHJnCM</v>
      </c>
      <c r="I136" s="15" t="s">
        <v>690</v>
      </c>
      <c r="J136" s="17" t="s">
        <v>192</v>
      </c>
      <c r="K136" s="17" t="s">
        <v>263</v>
      </c>
      <c r="L136" s="18"/>
      <c r="M136" s="18"/>
      <c r="N136" s="18"/>
      <c r="O136" s="18"/>
      <c r="P136" s="18"/>
      <c r="Q136" s="19"/>
      <c r="R136" s="21"/>
      <c r="S136" s="21"/>
      <c r="T136" s="19"/>
      <c r="U136" s="19"/>
      <c r="V136" s="19"/>
      <c r="W136" s="19"/>
      <c r="X136" s="19"/>
      <c r="Y136" s="19"/>
      <c r="Z136" s="19"/>
      <c r="AA136" s="19"/>
      <c r="AB136" s="19"/>
      <c r="AC136" s="19"/>
      <c r="AD136" s="19"/>
      <c r="AE136" s="19"/>
      <c r="AF136" s="19"/>
      <c r="AG136" s="19"/>
      <c r="AH136" s="19"/>
      <c r="AI136" s="19"/>
      <c r="AJ136" s="19"/>
      <c r="AK136" s="19"/>
    </row>
    <row r="137">
      <c r="A137" s="27"/>
      <c r="B137" s="27"/>
      <c r="C137" s="27"/>
      <c r="D137" s="27"/>
      <c r="E137" s="27"/>
      <c r="F137" s="27"/>
      <c r="G137" s="34" t="s">
        <v>691</v>
      </c>
      <c r="H137" s="15" t="str">
        <f t="shared" si="2"/>
        <v>https://youtube.com/embed/ColOytJoFSM</v>
      </c>
      <c r="I137" s="32" t="s">
        <v>692</v>
      </c>
      <c r="J137" s="17" t="s">
        <v>212</v>
      </c>
      <c r="K137" s="17" t="s">
        <v>263</v>
      </c>
      <c r="L137" s="18"/>
      <c r="M137" s="18"/>
      <c r="N137" s="18"/>
      <c r="O137" s="18"/>
      <c r="P137" s="18"/>
      <c r="Q137" s="19"/>
      <c r="R137" s="21"/>
      <c r="S137" s="21"/>
      <c r="T137" s="19"/>
      <c r="U137" s="19"/>
      <c r="V137" s="19"/>
      <c r="W137" s="19"/>
      <c r="X137" s="19"/>
      <c r="Y137" s="19"/>
      <c r="Z137" s="19"/>
      <c r="AA137" s="19"/>
      <c r="AB137" s="19"/>
      <c r="AC137" s="19"/>
      <c r="AD137" s="19"/>
      <c r="AE137" s="19"/>
      <c r="AF137" s="19"/>
      <c r="AG137" s="19"/>
      <c r="AH137" s="19"/>
      <c r="AI137" s="19"/>
      <c r="AJ137" s="19"/>
      <c r="AK137" s="19"/>
    </row>
    <row r="138" hidden="1">
      <c r="A138" s="66" t="s">
        <v>694</v>
      </c>
      <c r="B138" s="26" t="str">
        <f>TRIM(MID(A138, SEARCH("- ", A138) + 2, LEN(A138)))
</f>
        <v>INTRODUCCIÓN A MACHINE LEARNING EN MINERÍA</v>
      </c>
      <c r="C138" s="13" t="s">
        <v>695</v>
      </c>
      <c r="D138" s="13"/>
      <c r="E138" s="13"/>
      <c r="F138" s="13" t="s">
        <v>77</v>
      </c>
      <c r="G138" s="34" t="s">
        <v>696</v>
      </c>
      <c r="H138" s="15" t="str">
        <f t="shared" si="2"/>
        <v>https://www.youtube.com/watch</v>
      </c>
      <c r="I138" s="63"/>
      <c r="J138" s="18"/>
      <c r="K138" s="18"/>
      <c r="L138" s="18"/>
      <c r="M138" s="18" t="s">
        <v>642</v>
      </c>
      <c r="N138" s="18" t="s">
        <v>643</v>
      </c>
      <c r="O138" s="18" t="s">
        <v>644</v>
      </c>
      <c r="P138" s="18">
        <v>30.0</v>
      </c>
      <c r="Q138" s="19"/>
      <c r="R138" s="21" t="s">
        <v>122</v>
      </c>
      <c r="S138" s="21" t="s">
        <v>124</v>
      </c>
      <c r="T138" s="19"/>
      <c r="U138" s="19"/>
      <c r="V138" s="19"/>
      <c r="W138" s="19"/>
      <c r="X138" s="19"/>
      <c r="Y138" s="19"/>
      <c r="Z138" s="19"/>
      <c r="AA138" s="19"/>
      <c r="AB138" s="19"/>
      <c r="AC138" s="19"/>
      <c r="AD138" s="19"/>
      <c r="AE138" s="19"/>
      <c r="AF138" s="19"/>
      <c r="AG138" s="19"/>
      <c r="AH138" s="19"/>
      <c r="AI138" s="19"/>
      <c r="AJ138" s="19"/>
      <c r="AK138" s="19"/>
    </row>
    <row r="139" hidden="1">
      <c r="A139" s="71"/>
      <c r="B139" s="23"/>
      <c r="C139" s="23"/>
      <c r="D139" s="23"/>
      <c r="E139" s="23"/>
      <c r="F139" s="23"/>
      <c r="G139" s="34" t="s">
        <v>697</v>
      </c>
      <c r="H139" s="15" t="str">
        <f t="shared" si="2"/>
        <v>https://youtube.com/embed/E-csFjxgpCU</v>
      </c>
      <c r="I139" s="15" t="s">
        <v>699</v>
      </c>
      <c r="J139" s="18"/>
      <c r="K139" s="18"/>
      <c r="L139" s="18"/>
      <c r="M139" s="18"/>
      <c r="N139" s="18"/>
      <c r="O139" s="18"/>
      <c r="P139" s="18"/>
      <c r="Q139" s="19"/>
      <c r="R139" s="21"/>
      <c r="S139" s="21"/>
      <c r="T139" s="19"/>
      <c r="U139" s="19"/>
      <c r="V139" s="19"/>
      <c r="W139" s="19"/>
      <c r="X139" s="19"/>
      <c r="Y139" s="19"/>
      <c r="Z139" s="19"/>
      <c r="AA139" s="19"/>
      <c r="AB139" s="19"/>
      <c r="AC139" s="19"/>
      <c r="AD139" s="19"/>
      <c r="AE139" s="19"/>
      <c r="AF139" s="19"/>
      <c r="AG139" s="19"/>
      <c r="AH139" s="19"/>
      <c r="AI139" s="19"/>
      <c r="AJ139" s="19"/>
      <c r="AK139" s="19"/>
    </row>
    <row r="140" hidden="1">
      <c r="A140" s="71"/>
      <c r="B140" s="23"/>
      <c r="C140" s="23"/>
      <c r="D140" s="23"/>
      <c r="E140" s="23"/>
      <c r="F140" s="23"/>
      <c r="G140" s="69" t="s">
        <v>676</v>
      </c>
      <c r="H140" s="15" t="str">
        <f t="shared" si="2"/>
        <v>https://youtube.com/embed/m7zFyn-BtKs</v>
      </c>
      <c r="I140" s="15" t="s">
        <v>677</v>
      </c>
      <c r="J140" s="18"/>
      <c r="K140" s="18"/>
      <c r="L140" s="18"/>
      <c r="M140" s="18"/>
      <c r="N140" s="18"/>
      <c r="O140" s="18"/>
      <c r="P140" s="18"/>
      <c r="Q140" s="19"/>
      <c r="R140" s="21"/>
      <c r="S140" s="21"/>
      <c r="T140" s="19"/>
      <c r="U140" s="19"/>
      <c r="V140" s="19"/>
      <c r="W140" s="19"/>
      <c r="X140" s="19"/>
      <c r="Y140" s="19"/>
      <c r="Z140" s="19"/>
      <c r="AA140" s="19"/>
      <c r="AB140" s="19"/>
      <c r="AC140" s="19"/>
      <c r="AD140" s="19"/>
      <c r="AE140" s="19"/>
      <c r="AF140" s="19"/>
      <c r="AG140" s="19"/>
      <c r="AH140" s="19"/>
      <c r="AI140" s="19"/>
      <c r="AJ140" s="19"/>
      <c r="AK140" s="19"/>
    </row>
    <row r="141" hidden="1">
      <c r="A141" s="71"/>
      <c r="B141" s="27"/>
      <c r="C141" s="27"/>
      <c r="D141" s="27"/>
      <c r="E141" s="27"/>
      <c r="F141" s="27"/>
      <c r="G141" s="34" t="s">
        <v>701</v>
      </c>
      <c r="H141" s="15" t="str">
        <f t="shared" si="2"/>
        <v>https://youtube.com/embed/l1PKRWjuX98</v>
      </c>
      <c r="I141" s="15" t="s">
        <v>680</v>
      </c>
      <c r="J141" s="18"/>
      <c r="K141" s="18"/>
      <c r="L141" s="18"/>
      <c r="M141" s="18"/>
      <c r="N141" s="18"/>
      <c r="O141" s="18"/>
      <c r="P141" s="18"/>
      <c r="Q141" s="19"/>
      <c r="R141" s="21"/>
      <c r="S141" s="21"/>
      <c r="T141" s="19"/>
      <c r="U141" s="19"/>
      <c r="V141" s="19"/>
      <c r="W141" s="19"/>
      <c r="X141" s="19"/>
      <c r="Y141" s="19"/>
      <c r="Z141" s="19"/>
      <c r="AA141" s="19"/>
      <c r="AB141" s="19"/>
      <c r="AC141" s="19"/>
      <c r="AD141" s="19"/>
      <c r="AE141" s="19"/>
      <c r="AF141" s="19"/>
      <c r="AG141" s="19"/>
      <c r="AH141" s="19"/>
      <c r="AI141" s="19"/>
      <c r="AJ141" s="19"/>
      <c r="AK141" s="19"/>
    </row>
    <row r="142">
      <c r="A142" s="72" t="s">
        <v>702</v>
      </c>
      <c r="B142" s="26" t="str">
        <f>TRIM(MID(A142, SEARCH("- ", A142) + 2, LEN(A142)))
</f>
        <v>TIPOS DE INTELIGENCIA ARTIFICIAL APLICADAS A LA MINERÍA</v>
      </c>
      <c r="C142" s="13" t="s">
        <v>77</v>
      </c>
      <c r="D142" s="13"/>
      <c r="E142" s="70" t="s">
        <v>57</v>
      </c>
      <c r="F142" s="13" t="s">
        <v>77</v>
      </c>
      <c r="G142" s="34" t="s">
        <v>703</v>
      </c>
      <c r="H142" s="15" t="str">
        <f t="shared" si="2"/>
        <v>https://youtube.com/embed/UB05S62ivEA</v>
      </c>
      <c r="I142" s="15" t="s">
        <v>704</v>
      </c>
      <c r="J142" s="17" t="s">
        <v>170</v>
      </c>
      <c r="K142" s="17" t="s">
        <v>263</v>
      </c>
      <c r="L142" s="60" t="str">
        <f>"COMIENZA DICIENDO QUE ES EL RESUMEN DEL CURSO " &amp; B142 &amp; " DE EDUMIN, LUEGO HAZ EL RESUMEN Y FINALIZA INVITANDO A VER EL RESTO DE RECURSOS DE LAS ZONAS DE EDUMIN."</f>
        <v>COMIENZA DICIENDO QUE ES EL RESUMEN DEL CURSO TIPOS DE INTELIGENCIA ARTIFICIAL APLICADAS A LA MINERÍA DE EDUMIN, LUEGO HAZ EL RESUMEN Y FINALIZA INVITANDO A VER EL RESTO DE RECURSOS DE LAS ZONAS DE EDUMIN.</v>
      </c>
      <c r="M142" s="18" t="s">
        <v>658</v>
      </c>
      <c r="N142" s="18" t="s">
        <v>659</v>
      </c>
      <c r="O142" s="18" t="s">
        <v>643</v>
      </c>
      <c r="P142" s="18">
        <v>30.0</v>
      </c>
      <c r="Q142" s="19"/>
      <c r="R142" s="21" t="s">
        <v>122</v>
      </c>
      <c r="S142" s="21" t="s">
        <v>124</v>
      </c>
      <c r="T142" s="19"/>
      <c r="U142" s="19"/>
      <c r="V142" s="19"/>
      <c r="W142" s="19"/>
      <c r="X142" s="19"/>
      <c r="Y142" s="19"/>
      <c r="Z142" s="19"/>
      <c r="AA142" s="19"/>
      <c r="AB142" s="19"/>
      <c r="AC142" s="19"/>
      <c r="AD142" s="19"/>
      <c r="AE142" s="19"/>
      <c r="AF142" s="19"/>
      <c r="AG142" s="19"/>
      <c r="AH142" s="19"/>
      <c r="AI142" s="19"/>
      <c r="AJ142" s="19"/>
      <c r="AK142" s="19"/>
    </row>
    <row r="143">
      <c r="A143" s="23"/>
      <c r="B143" s="23"/>
      <c r="C143" s="23"/>
      <c r="D143" s="23"/>
      <c r="E143" s="23"/>
      <c r="F143" s="23"/>
      <c r="G143" s="34" t="s">
        <v>706</v>
      </c>
      <c r="H143" s="15" t="str">
        <f t="shared" si="2"/>
        <v>https://youtube.com/embed/qYuBFG0ohv4</v>
      </c>
      <c r="I143" s="15" t="s">
        <v>707</v>
      </c>
      <c r="J143" s="17" t="s">
        <v>185</v>
      </c>
      <c r="K143" s="17" t="s">
        <v>263</v>
      </c>
      <c r="L143" s="17" t="s">
        <v>510</v>
      </c>
      <c r="M143" s="18"/>
      <c r="N143" s="18"/>
      <c r="O143" s="18"/>
      <c r="P143" s="18"/>
      <c r="Q143" s="19"/>
      <c r="R143" s="21"/>
      <c r="S143" s="21"/>
      <c r="T143" s="19"/>
      <c r="U143" s="19"/>
      <c r="V143" s="19"/>
      <c r="W143" s="19"/>
      <c r="X143" s="19"/>
      <c r="Y143" s="19"/>
      <c r="Z143" s="19"/>
      <c r="AA143" s="19"/>
      <c r="AB143" s="19"/>
      <c r="AC143" s="19"/>
      <c r="AD143" s="19"/>
      <c r="AE143" s="19"/>
      <c r="AF143" s="19"/>
      <c r="AG143" s="19"/>
      <c r="AH143" s="19"/>
      <c r="AI143" s="19"/>
      <c r="AJ143" s="19"/>
      <c r="AK143" s="19"/>
    </row>
    <row r="144">
      <c r="A144" s="23"/>
      <c r="B144" s="23"/>
      <c r="C144" s="23"/>
      <c r="D144" s="23"/>
      <c r="E144" s="23"/>
      <c r="F144" s="23"/>
      <c r="G144" s="34" t="s">
        <v>709</v>
      </c>
      <c r="H144" s="15" t="str">
        <f t="shared" si="2"/>
        <v>https://youtube.com/embed/wFfzwVJzat8</v>
      </c>
      <c r="I144" s="15" t="s">
        <v>710</v>
      </c>
      <c r="J144" s="17" t="s">
        <v>192</v>
      </c>
      <c r="K144" s="17" t="s">
        <v>263</v>
      </c>
      <c r="L144" s="18"/>
      <c r="M144" s="18"/>
      <c r="N144" s="18"/>
      <c r="O144" s="18"/>
      <c r="P144" s="18"/>
      <c r="Q144" s="19"/>
      <c r="R144" s="21"/>
      <c r="S144" s="21"/>
      <c r="T144" s="19"/>
      <c r="U144" s="19"/>
      <c r="V144" s="19"/>
      <c r="W144" s="19"/>
      <c r="X144" s="19"/>
      <c r="Y144" s="19"/>
      <c r="Z144" s="19"/>
      <c r="AA144" s="19"/>
      <c r="AB144" s="19"/>
      <c r="AC144" s="19"/>
      <c r="AD144" s="19"/>
      <c r="AE144" s="19"/>
      <c r="AF144" s="19"/>
      <c r="AG144" s="19"/>
      <c r="AH144" s="19"/>
      <c r="AI144" s="19"/>
      <c r="AJ144" s="19"/>
      <c r="AK144" s="19"/>
    </row>
    <row r="145">
      <c r="A145" s="27"/>
      <c r="B145" s="27"/>
      <c r="C145" s="27"/>
      <c r="D145" s="27"/>
      <c r="E145" s="27"/>
      <c r="F145" s="27"/>
      <c r="G145" s="34"/>
      <c r="H145" s="63"/>
      <c r="I145" s="63"/>
      <c r="J145" s="18"/>
      <c r="K145" s="18"/>
      <c r="L145" s="18"/>
      <c r="M145" s="18"/>
      <c r="N145" s="18"/>
      <c r="O145" s="18"/>
      <c r="P145" s="18"/>
      <c r="Q145" s="19"/>
      <c r="R145" s="21"/>
      <c r="S145" s="21"/>
      <c r="T145" s="19"/>
      <c r="U145" s="19"/>
      <c r="V145" s="19"/>
      <c r="W145" s="19"/>
      <c r="X145" s="19"/>
      <c r="Y145" s="19"/>
      <c r="Z145" s="19"/>
      <c r="AA145" s="19"/>
      <c r="AB145" s="19"/>
      <c r="AC145" s="19"/>
      <c r="AD145" s="19"/>
      <c r="AE145" s="19"/>
      <c r="AF145" s="19"/>
      <c r="AG145" s="19"/>
      <c r="AH145" s="19"/>
      <c r="AI145" s="19"/>
      <c r="AJ145" s="19"/>
      <c r="AK145" s="19"/>
    </row>
    <row r="146">
      <c r="A146" s="11" t="s">
        <v>712</v>
      </c>
      <c r="B146" s="26" t="str">
        <f>TRIM(MID(A146, SEARCH("- ", A146) + 2, LEN(A146)))
</f>
        <v>HERRAMIENTAS DE BIG DATA APLICADA A MINERÍA</v>
      </c>
      <c r="C146" s="13" t="s">
        <v>77</v>
      </c>
      <c r="D146" s="13"/>
      <c r="E146" s="13" t="s">
        <v>65</v>
      </c>
      <c r="F146" s="13" t="s">
        <v>77</v>
      </c>
      <c r="G146" s="61" t="s">
        <v>714</v>
      </c>
      <c r="H146" s="15" t="str">
        <f t="shared" ref="H146:H147" si="3">SUBSTITUTE(LEFT(MID(G146,FIND("https",G146),99),FIND("?",G146)-FIND("https",G146)), "/live/", "/embed/")</f>
        <v>https://youtube.com/embed/Guf9n2TbwXI</v>
      </c>
      <c r="I146" s="15" t="s">
        <v>715</v>
      </c>
      <c r="J146" s="17" t="s">
        <v>170</v>
      </c>
      <c r="K146" s="17" t="s">
        <v>263</v>
      </c>
      <c r="L146" s="60" t="str">
        <f>"COMIENZA DICIENDO QUE ES EL RESUMEN DEL CURSO " &amp; B146 &amp; " DE EDUMIN, LUEGO HAZ EL RESUMEN Y FINALIZA INVITANDO A VER EL RESTO DE RECURSOS DE LAS ZONAS DE EDUMIN."</f>
        <v>COMIENZA DICIENDO QUE ES EL RESUMEN DEL CURSO HERRAMIENTAS DE BIG DATA APLICADA A MINERÍA DE EDUMIN, LUEGO HAZ EL RESUMEN Y FINALIZA INVITANDO A VER EL RESTO DE RECURSOS DE LAS ZONAS DE EDUMIN.</v>
      </c>
      <c r="M146" s="18" t="s">
        <v>642</v>
      </c>
      <c r="N146" s="18" t="s">
        <v>643</v>
      </c>
      <c r="O146" s="18" t="s">
        <v>644</v>
      </c>
      <c r="P146" s="18">
        <v>30.0</v>
      </c>
      <c r="Q146" s="19"/>
      <c r="R146" s="21" t="s">
        <v>122</v>
      </c>
      <c r="S146" s="21" t="s">
        <v>124</v>
      </c>
      <c r="T146" s="19"/>
      <c r="U146" s="19"/>
      <c r="V146" s="19"/>
      <c r="W146" s="19"/>
      <c r="X146" s="19"/>
      <c r="Y146" s="19"/>
      <c r="Z146" s="19"/>
      <c r="AA146" s="19"/>
      <c r="AB146" s="19"/>
      <c r="AC146" s="19"/>
      <c r="AD146" s="19"/>
      <c r="AE146" s="19"/>
      <c r="AF146" s="19"/>
      <c r="AG146" s="19"/>
      <c r="AH146" s="19"/>
      <c r="AI146" s="19"/>
      <c r="AJ146" s="19"/>
      <c r="AK146" s="19"/>
    </row>
    <row r="147">
      <c r="A147" s="23"/>
      <c r="B147" s="23"/>
      <c r="C147" s="23"/>
      <c r="D147" s="23"/>
      <c r="E147" s="23"/>
      <c r="F147" s="23"/>
      <c r="G147" s="61" t="s">
        <v>716</v>
      </c>
      <c r="H147" s="15" t="str">
        <f t="shared" si="3"/>
        <v>https://youtube.com/embed/dhyD_UoqH1U</v>
      </c>
      <c r="I147" s="15" t="s">
        <v>717</v>
      </c>
      <c r="J147" s="17" t="s">
        <v>185</v>
      </c>
      <c r="K147" s="17" t="s">
        <v>263</v>
      </c>
      <c r="L147" s="17" t="s">
        <v>510</v>
      </c>
      <c r="M147" s="18"/>
      <c r="N147" s="18"/>
      <c r="O147" s="18"/>
      <c r="P147" s="18"/>
      <c r="Q147" s="19"/>
      <c r="R147" s="21"/>
      <c r="S147" s="21"/>
      <c r="T147" s="19"/>
      <c r="U147" s="19"/>
      <c r="V147" s="19"/>
      <c r="W147" s="19"/>
      <c r="X147" s="19"/>
      <c r="Y147" s="19"/>
      <c r="Z147" s="19"/>
      <c r="AA147" s="19"/>
      <c r="AB147" s="19"/>
      <c r="AC147" s="19"/>
      <c r="AD147" s="19"/>
      <c r="AE147" s="19"/>
      <c r="AF147" s="19"/>
      <c r="AG147" s="19"/>
      <c r="AH147" s="19"/>
      <c r="AI147" s="19"/>
      <c r="AJ147" s="19"/>
      <c r="AK147" s="19"/>
    </row>
    <row r="148">
      <c r="A148" s="23"/>
      <c r="B148" s="23"/>
      <c r="C148" s="23"/>
      <c r="D148" s="23"/>
      <c r="E148" s="23"/>
      <c r="F148" s="23"/>
      <c r="G148" s="16"/>
      <c r="H148" s="63"/>
      <c r="I148" s="63"/>
      <c r="J148" s="18"/>
      <c r="K148" s="18"/>
      <c r="L148" s="18"/>
      <c r="M148" s="18"/>
      <c r="N148" s="18"/>
      <c r="O148" s="18"/>
      <c r="P148" s="18"/>
      <c r="Q148" s="19"/>
      <c r="R148" s="21"/>
      <c r="S148" s="21"/>
      <c r="T148" s="19"/>
      <c r="U148" s="19"/>
      <c r="V148" s="19"/>
      <c r="W148" s="19"/>
      <c r="X148" s="19"/>
      <c r="Y148" s="19"/>
      <c r="Z148" s="19"/>
      <c r="AA148" s="19"/>
      <c r="AB148" s="19"/>
      <c r="AC148" s="19"/>
      <c r="AD148" s="19"/>
      <c r="AE148" s="19"/>
      <c r="AF148" s="19"/>
      <c r="AG148" s="19"/>
      <c r="AH148" s="19"/>
      <c r="AI148" s="19"/>
      <c r="AJ148" s="19"/>
      <c r="AK148" s="19"/>
    </row>
    <row r="149">
      <c r="A149" s="27"/>
      <c r="B149" s="27"/>
      <c r="C149" s="27"/>
      <c r="D149" s="27"/>
      <c r="E149" s="27"/>
      <c r="F149" s="27"/>
      <c r="G149" s="16"/>
      <c r="H149" s="63"/>
      <c r="I149" s="63"/>
      <c r="J149" s="18"/>
      <c r="K149" s="18"/>
      <c r="L149" s="18"/>
      <c r="M149" s="18"/>
      <c r="N149" s="18"/>
      <c r="O149" s="18"/>
      <c r="P149" s="18"/>
      <c r="Q149" s="19"/>
      <c r="R149" s="21"/>
      <c r="S149" s="21"/>
      <c r="T149" s="19"/>
      <c r="U149" s="19"/>
      <c r="V149" s="19"/>
      <c r="W149" s="19"/>
      <c r="X149" s="19"/>
      <c r="Y149" s="19"/>
      <c r="Z149" s="19"/>
      <c r="AA149" s="19"/>
      <c r="AB149" s="19"/>
      <c r="AC149" s="19"/>
      <c r="AD149" s="19"/>
      <c r="AE149" s="19"/>
      <c r="AF149" s="19"/>
      <c r="AG149" s="19"/>
      <c r="AH149" s="19"/>
      <c r="AI149" s="19"/>
      <c r="AJ149" s="19"/>
      <c r="AK149" s="19"/>
    </row>
    <row r="150" hidden="1">
      <c r="A150" s="64" t="s">
        <v>718</v>
      </c>
      <c r="B150" s="26" t="str">
        <f>TRIM(MID(A150, SEARCH("- ", A150) + 2, LEN(A150)))
</f>
        <v>GESTIÓN AVANZADA DE OPERACIONES INDUSTRIALES</v>
      </c>
      <c r="C150" s="13" t="s">
        <v>77</v>
      </c>
      <c r="D150" s="13" t="s">
        <v>77</v>
      </c>
      <c r="E150" s="13" t="s">
        <v>235</v>
      </c>
      <c r="F150" s="13" t="s">
        <v>77</v>
      </c>
      <c r="G150" s="57" t="s">
        <v>719</v>
      </c>
      <c r="H150" s="15" t="str">
        <f t="shared" ref="H150:H200" si="4">SUBSTITUTE(LEFT(MID(G150,FIND("https",G150),99),FIND("?",G150)-FIND("https",G150)), "/live/", "/embed/")</f>
        <v>https://youtube.com/embed/Tf_8cAbgV_Q</v>
      </c>
      <c r="I150" s="15" t="s">
        <v>721</v>
      </c>
      <c r="J150" s="17" t="str">
        <f>IFERROR(__xludf.DUMMYFUNCTION("CONCATENATE(""CLASE 0"",REGEXEXTRACT(G150,""[\d]+""))"),"CLASE 01")</f>
        <v>CLASE 01</v>
      </c>
      <c r="K150" s="17" t="s">
        <v>263</v>
      </c>
      <c r="L150" s="65" t="s">
        <v>263</v>
      </c>
      <c r="M150" s="18" t="s">
        <v>642</v>
      </c>
      <c r="N150" s="18" t="s">
        <v>643</v>
      </c>
      <c r="O150" s="18" t="s">
        <v>644</v>
      </c>
      <c r="P150" s="18">
        <v>30.0</v>
      </c>
      <c r="Q150" s="19"/>
      <c r="R150" s="21" t="s">
        <v>122</v>
      </c>
      <c r="S150" s="21" t="s">
        <v>124</v>
      </c>
      <c r="T150" s="19"/>
      <c r="U150" s="19"/>
      <c r="V150" s="19"/>
      <c r="W150" s="19"/>
      <c r="X150" s="19"/>
      <c r="Y150" s="19"/>
      <c r="Z150" s="19"/>
      <c r="AA150" s="19"/>
      <c r="AB150" s="19"/>
      <c r="AC150" s="19"/>
      <c r="AD150" s="19"/>
      <c r="AE150" s="19"/>
      <c r="AF150" s="19"/>
      <c r="AG150" s="19"/>
      <c r="AH150" s="19"/>
      <c r="AI150" s="19"/>
      <c r="AJ150" s="19"/>
      <c r="AK150" s="19"/>
    </row>
    <row r="151" hidden="1">
      <c r="A151" s="66"/>
      <c r="B151" s="23"/>
      <c r="C151" s="23"/>
      <c r="D151" s="23"/>
      <c r="E151" s="23"/>
      <c r="F151" s="23"/>
      <c r="G151" s="34" t="s">
        <v>722</v>
      </c>
      <c r="H151" s="15" t="str">
        <f t="shared" si="4"/>
        <v>https://youtube.com/embed/9kCOepysZo0</v>
      </c>
      <c r="I151" s="15" t="s">
        <v>724</v>
      </c>
      <c r="J151" s="17" t="str">
        <f>IFERROR(__xludf.DUMMYFUNCTION("CONCATENATE(""CLASE 0"",REGEXEXTRACT(G151,""[\d]+""))"),"CLASE 02")</f>
        <v>CLASE 02</v>
      </c>
      <c r="K151" s="17" t="s">
        <v>263</v>
      </c>
      <c r="L151" s="23"/>
      <c r="M151" s="18"/>
      <c r="N151" s="18"/>
      <c r="O151" s="18"/>
      <c r="P151" s="18"/>
      <c r="Q151" s="19"/>
      <c r="R151" s="21"/>
      <c r="S151" s="21"/>
      <c r="T151" s="19"/>
      <c r="U151" s="19"/>
      <c r="V151" s="19"/>
      <c r="W151" s="19"/>
      <c r="X151" s="19"/>
      <c r="Y151" s="19"/>
      <c r="Z151" s="19"/>
      <c r="AA151" s="19"/>
      <c r="AB151" s="19"/>
      <c r="AC151" s="19"/>
      <c r="AD151" s="19"/>
      <c r="AE151" s="19"/>
      <c r="AF151" s="19"/>
      <c r="AG151" s="19"/>
      <c r="AH151" s="19"/>
      <c r="AI151" s="19"/>
      <c r="AJ151" s="19"/>
      <c r="AK151" s="19"/>
    </row>
    <row r="152" hidden="1">
      <c r="A152" s="66"/>
      <c r="B152" s="23"/>
      <c r="C152" s="23"/>
      <c r="D152" s="23"/>
      <c r="E152" s="23"/>
      <c r="F152" s="23"/>
      <c r="G152" s="34" t="s">
        <v>725</v>
      </c>
      <c r="H152" s="15" t="str">
        <f t="shared" si="4"/>
        <v>https://youtube.com/embed/uWBJbS-Vz4M</v>
      </c>
      <c r="I152" s="15" t="s">
        <v>726</v>
      </c>
      <c r="J152" s="17" t="str">
        <f>IFERROR(__xludf.DUMMYFUNCTION("CONCATENATE(""CLASE 0"",REGEXEXTRACT(G152,""[\d]+""))"),"CLASE 03")</f>
        <v>CLASE 03</v>
      </c>
      <c r="K152" s="17" t="s">
        <v>263</v>
      </c>
      <c r="L152" s="23"/>
      <c r="M152" s="18"/>
      <c r="N152" s="18"/>
      <c r="O152" s="18"/>
      <c r="P152" s="18"/>
      <c r="Q152" s="19"/>
      <c r="R152" s="21"/>
      <c r="S152" s="21"/>
      <c r="T152" s="19"/>
      <c r="U152" s="19"/>
      <c r="V152" s="19"/>
      <c r="W152" s="19"/>
      <c r="X152" s="19"/>
      <c r="Y152" s="19"/>
      <c r="Z152" s="19"/>
      <c r="AA152" s="19"/>
      <c r="AB152" s="19"/>
      <c r="AC152" s="19"/>
      <c r="AD152" s="19"/>
      <c r="AE152" s="19"/>
      <c r="AF152" s="19"/>
      <c r="AG152" s="19"/>
      <c r="AH152" s="19"/>
      <c r="AI152" s="19"/>
      <c r="AJ152" s="19"/>
      <c r="AK152" s="19"/>
    </row>
    <row r="153" hidden="1">
      <c r="A153" s="66"/>
      <c r="B153" s="27"/>
      <c r="C153" s="27"/>
      <c r="D153" s="27"/>
      <c r="E153" s="27"/>
      <c r="F153" s="27"/>
      <c r="G153" s="34" t="s">
        <v>727</v>
      </c>
      <c r="H153" s="15" t="str">
        <f t="shared" si="4"/>
        <v>https://youtube.com/embed/sGOn3YPoMJw</v>
      </c>
      <c r="I153" s="15" t="s">
        <v>728</v>
      </c>
      <c r="J153" s="17" t="str">
        <f>IFERROR(__xludf.DUMMYFUNCTION("CONCATENATE(""CLASE 0"",REGEXEXTRACT(G153,""[\d]+""))"),"CLASE 04")</f>
        <v>CLASE 04</v>
      </c>
      <c r="K153" s="17" t="s">
        <v>263</v>
      </c>
      <c r="L153" s="27"/>
      <c r="M153" s="18"/>
      <c r="N153" s="18"/>
      <c r="O153" s="18"/>
      <c r="P153" s="18"/>
      <c r="Q153" s="19"/>
      <c r="R153" s="21"/>
      <c r="S153" s="21"/>
      <c r="T153" s="19"/>
      <c r="U153" s="19"/>
      <c r="V153" s="19"/>
      <c r="W153" s="19"/>
      <c r="X153" s="19"/>
      <c r="Y153" s="19"/>
      <c r="Z153" s="19"/>
      <c r="AA153" s="19"/>
      <c r="AB153" s="19"/>
      <c r="AC153" s="19"/>
      <c r="AD153" s="19"/>
      <c r="AE153" s="19"/>
      <c r="AF153" s="19"/>
      <c r="AG153" s="19"/>
      <c r="AH153" s="19"/>
      <c r="AI153" s="19"/>
      <c r="AJ153" s="19"/>
      <c r="AK153" s="19"/>
    </row>
    <row r="154" hidden="1">
      <c r="A154" s="64" t="s">
        <v>729</v>
      </c>
      <c r="B154" s="26" t="str">
        <f>TRIM(MID(A154, SEARCH("- ", A154) + 2, LEN(A154)))
</f>
        <v>BIG DATA APLICADA A PROCESOS INDUSTRIALES</v>
      </c>
      <c r="C154" s="13" t="s">
        <v>695</v>
      </c>
      <c r="D154" s="13"/>
      <c r="E154" s="13"/>
      <c r="F154" s="13" t="s">
        <v>77</v>
      </c>
      <c r="G154" s="57" t="s">
        <v>730</v>
      </c>
      <c r="H154" s="15" t="str">
        <f t="shared" si="4"/>
        <v>https://youtube.com/embed/Tf_8cAbgV_Q</v>
      </c>
      <c r="I154" s="15" t="s">
        <v>721</v>
      </c>
      <c r="J154" s="18"/>
      <c r="K154" s="18"/>
      <c r="L154" s="18"/>
      <c r="M154" s="18" t="s">
        <v>642</v>
      </c>
      <c r="N154" s="18" t="s">
        <v>643</v>
      </c>
      <c r="O154" s="18" t="s">
        <v>644</v>
      </c>
      <c r="P154" s="18">
        <v>30.0</v>
      </c>
      <c r="Q154" s="19"/>
      <c r="R154" s="21" t="s">
        <v>122</v>
      </c>
      <c r="S154" s="21" t="s">
        <v>124</v>
      </c>
      <c r="T154" s="19"/>
      <c r="U154" s="19"/>
      <c r="V154" s="19"/>
      <c r="W154" s="19"/>
      <c r="X154" s="19"/>
      <c r="Y154" s="19"/>
      <c r="Z154" s="19"/>
      <c r="AA154" s="19"/>
      <c r="AB154" s="19"/>
      <c r="AC154" s="19"/>
      <c r="AD154" s="19"/>
      <c r="AE154" s="19"/>
      <c r="AF154" s="19"/>
      <c r="AG154" s="19"/>
      <c r="AH154" s="19"/>
      <c r="AI154" s="19"/>
      <c r="AJ154" s="19"/>
      <c r="AK154" s="19"/>
    </row>
    <row r="155" hidden="1">
      <c r="A155" s="66"/>
      <c r="B155" s="23"/>
      <c r="C155" s="23"/>
      <c r="D155" s="23"/>
      <c r="E155" s="23"/>
      <c r="F155" s="23"/>
      <c r="G155" s="34" t="s">
        <v>722</v>
      </c>
      <c r="H155" s="15" t="str">
        <f t="shared" si="4"/>
        <v>https://youtube.com/embed/9kCOepysZo0</v>
      </c>
      <c r="I155" s="15" t="s">
        <v>724</v>
      </c>
      <c r="J155" s="18"/>
      <c r="K155" s="18"/>
      <c r="L155" s="18"/>
      <c r="M155" s="18"/>
      <c r="N155" s="18"/>
      <c r="O155" s="18"/>
      <c r="P155" s="18"/>
      <c r="Q155" s="19"/>
      <c r="R155" s="21"/>
      <c r="S155" s="21"/>
      <c r="T155" s="19"/>
      <c r="U155" s="19"/>
      <c r="V155" s="19"/>
      <c r="W155" s="19"/>
      <c r="X155" s="19"/>
      <c r="Y155" s="19"/>
      <c r="Z155" s="19"/>
      <c r="AA155" s="19"/>
      <c r="AB155" s="19"/>
      <c r="AC155" s="19"/>
      <c r="AD155" s="19"/>
      <c r="AE155" s="19"/>
      <c r="AF155" s="19"/>
      <c r="AG155" s="19"/>
      <c r="AH155" s="19"/>
      <c r="AI155" s="19"/>
      <c r="AJ155" s="19"/>
      <c r="AK155" s="19"/>
    </row>
    <row r="156" hidden="1">
      <c r="A156" s="66"/>
      <c r="B156" s="23"/>
      <c r="C156" s="23"/>
      <c r="D156" s="23"/>
      <c r="E156" s="23"/>
      <c r="F156" s="23"/>
      <c r="G156" s="34" t="s">
        <v>725</v>
      </c>
      <c r="H156" s="15" t="str">
        <f t="shared" si="4"/>
        <v>https://youtube.com/embed/uWBJbS-Vz4M</v>
      </c>
      <c r="I156" s="15" t="s">
        <v>726</v>
      </c>
      <c r="J156" s="18"/>
      <c r="K156" s="18"/>
      <c r="L156" s="18"/>
      <c r="M156" s="18"/>
      <c r="N156" s="18"/>
      <c r="O156" s="18"/>
      <c r="P156" s="18"/>
      <c r="Q156" s="19"/>
      <c r="R156" s="21"/>
      <c r="S156" s="21"/>
      <c r="T156" s="19"/>
      <c r="U156" s="19"/>
      <c r="V156" s="19"/>
      <c r="W156" s="19"/>
      <c r="X156" s="19"/>
      <c r="Y156" s="19"/>
      <c r="Z156" s="19"/>
      <c r="AA156" s="19"/>
      <c r="AB156" s="19"/>
      <c r="AC156" s="19"/>
      <c r="AD156" s="19"/>
      <c r="AE156" s="19"/>
      <c r="AF156" s="19"/>
      <c r="AG156" s="19"/>
      <c r="AH156" s="19"/>
      <c r="AI156" s="19"/>
      <c r="AJ156" s="19"/>
      <c r="AK156" s="19"/>
    </row>
    <row r="157" hidden="1">
      <c r="A157" s="66"/>
      <c r="B157" s="27"/>
      <c r="C157" s="27"/>
      <c r="D157" s="27"/>
      <c r="E157" s="27"/>
      <c r="F157" s="27"/>
      <c r="G157" s="34" t="s">
        <v>727</v>
      </c>
      <c r="H157" s="15" t="str">
        <f t="shared" si="4"/>
        <v>https://youtube.com/embed/sGOn3YPoMJw</v>
      </c>
      <c r="I157" s="15" t="s">
        <v>728</v>
      </c>
      <c r="J157" s="18"/>
      <c r="K157" s="18"/>
      <c r="L157" s="18"/>
      <c r="M157" s="18"/>
      <c r="N157" s="18"/>
      <c r="O157" s="18"/>
      <c r="P157" s="18"/>
      <c r="Q157" s="19"/>
      <c r="R157" s="21"/>
      <c r="S157" s="21"/>
      <c r="T157" s="19"/>
      <c r="U157" s="19"/>
      <c r="V157" s="19"/>
      <c r="W157" s="19"/>
      <c r="X157" s="19"/>
      <c r="Y157" s="19"/>
      <c r="Z157" s="19"/>
      <c r="AA157" s="19"/>
      <c r="AB157" s="19"/>
      <c r="AC157" s="19"/>
      <c r="AD157" s="19"/>
      <c r="AE157" s="19"/>
      <c r="AF157" s="19"/>
      <c r="AG157" s="19"/>
      <c r="AH157" s="19"/>
      <c r="AI157" s="19"/>
      <c r="AJ157" s="19"/>
      <c r="AK157" s="19"/>
    </row>
    <row r="158" hidden="1">
      <c r="A158" s="66" t="s">
        <v>732</v>
      </c>
      <c r="B158" s="26" t="str">
        <f>TRIM(MID(A158, SEARCH("- ", A158) + 2, LEN(A158)))
</f>
        <v>CONTROL DE COSTOS EN PRODUCCIÓN INDUSTRIAL O EN ÁREAS DE PRODUCCIÓN</v>
      </c>
      <c r="C158" s="13" t="s">
        <v>77</v>
      </c>
      <c r="D158" s="13" t="s">
        <v>77</v>
      </c>
      <c r="E158" s="13" t="s">
        <v>235</v>
      </c>
      <c r="F158" s="13" t="s">
        <v>77</v>
      </c>
      <c r="G158" s="34" t="s">
        <v>733</v>
      </c>
      <c r="H158" s="15" t="str">
        <f t="shared" si="4"/>
        <v>https://youtube.com/embed/oBuVgNIC1Gk</v>
      </c>
      <c r="I158" s="15" t="s">
        <v>734</v>
      </c>
      <c r="J158" s="17" t="str">
        <f>IFERROR(__xludf.DUMMYFUNCTION("CONCATENATE(""CLASE 0"",REGEXEXTRACT(G158,""[\d]+""))"),"CLASE 01")</f>
        <v>CLASE 01</v>
      </c>
      <c r="K158" s="17" t="s">
        <v>263</v>
      </c>
      <c r="L158" s="65" t="s">
        <v>263</v>
      </c>
      <c r="M158" s="18" t="s">
        <v>658</v>
      </c>
      <c r="N158" s="18" t="s">
        <v>659</v>
      </c>
      <c r="O158" s="18" t="s">
        <v>643</v>
      </c>
      <c r="P158" s="18">
        <v>30.0</v>
      </c>
      <c r="Q158" s="19"/>
      <c r="R158" s="21" t="s">
        <v>122</v>
      </c>
      <c r="S158" s="21" t="s">
        <v>124</v>
      </c>
      <c r="T158" s="19"/>
      <c r="U158" s="19"/>
      <c r="V158" s="19"/>
      <c r="W158" s="19"/>
      <c r="X158" s="19"/>
      <c r="Y158" s="19"/>
      <c r="Z158" s="19"/>
      <c r="AA158" s="19"/>
      <c r="AB158" s="19"/>
      <c r="AC158" s="19"/>
      <c r="AD158" s="19"/>
      <c r="AE158" s="19"/>
      <c r="AF158" s="19"/>
      <c r="AG158" s="19"/>
      <c r="AH158" s="19"/>
      <c r="AI158" s="19"/>
      <c r="AJ158" s="19"/>
      <c r="AK158" s="19"/>
    </row>
    <row r="159" hidden="1">
      <c r="A159" s="66"/>
      <c r="B159" s="23"/>
      <c r="C159" s="23"/>
      <c r="D159" s="23"/>
      <c r="E159" s="23"/>
      <c r="F159" s="23"/>
      <c r="G159" s="34" t="s">
        <v>736</v>
      </c>
      <c r="H159" s="15" t="str">
        <f t="shared" si="4"/>
        <v>https://youtube.com/embed/1hCY_IUCXzc</v>
      </c>
      <c r="I159" s="15" t="s">
        <v>737</v>
      </c>
      <c r="J159" s="17" t="str">
        <f>IFERROR(__xludf.DUMMYFUNCTION("CONCATENATE(""CLASE 0"",REGEXEXTRACT(G159,""[\d]+""))"),"CLASE 02")</f>
        <v>CLASE 02</v>
      </c>
      <c r="K159" s="17" t="s">
        <v>263</v>
      </c>
      <c r="L159" s="23"/>
      <c r="M159" s="18"/>
      <c r="N159" s="18"/>
      <c r="O159" s="18"/>
      <c r="P159" s="18"/>
      <c r="Q159" s="59"/>
      <c r="R159" s="21"/>
      <c r="S159" s="21"/>
      <c r="T159" s="59"/>
      <c r="U159" s="59"/>
      <c r="V159" s="59"/>
      <c r="W159" s="59"/>
      <c r="X159" s="59"/>
      <c r="Y159" s="59"/>
      <c r="Z159" s="59"/>
      <c r="AA159" s="59"/>
      <c r="AB159" s="59"/>
      <c r="AC159" s="59"/>
      <c r="AD159" s="59"/>
      <c r="AE159" s="59"/>
      <c r="AF159" s="59"/>
      <c r="AG159" s="59"/>
      <c r="AH159" s="59"/>
      <c r="AI159" s="59"/>
      <c r="AJ159" s="59"/>
      <c r="AK159" s="59"/>
    </row>
    <row r="160" hidden="1">
      <c r="A160" s="66"/>
      <c r="B160" s="23"/>
      <c r="C160" s="23"/>
      <c r="D160" s="23"/>
      <c r="E160" s="23"/>
      <c r="F160" s="23"/>
      <c r="G160" s="34" t="s">
        <v>738</v>
      </c>
      <c r="H160" s="15" t="str">
        <f t="shared" si="4"/>
        <v>https://youtube.com/embed/2CmWw6IXfPc</v>
      </c>
      <c r="I160" s="15" t="s">
        <v>739</v>
      </c>
      <c r="J160" s="17" t="str">
        <f>IFERROR(__xludf.DUMMYFUNCTION("CONCATENATE(""CLASE 0"",REGEXEXTRACT(G160,""[\d]+""))"),"CLASE 03")</f>
        <v>CLASE 03</v>
      </c>
      <c r="K160" s="17" t="s">
        <v>263</v>
      </c>
      <c r="L160" s="23"/>
      <c r="M160" s="18"/>
      <c r="N160" s="18"/>
      <c r="O160" s="18"/>
      <c r="P160" s="18"/>
      <c r="Q160" s="59"/>
      <c r="R160" s="21"/>
      <c r="S160" s="21"/>
      <c r="T160" s="59"/>
      <c r="U160" s="59"/>
      <c r="V160" s="59"/>
      <c r="W160" s="59"/>
      <c r="X160" s="59"/>
      <c r="Y160" s="59"/>
      <c r="Z160" s="59"/>
      <c r="AA160" s="59"/>
      <c r="AB160" s="59"/>
      <c r="AC160" s="59"/>
      <c r="AD160" s="59"/>
      <c r="AE160" s="59"/>
      <c r="AF160" s="59"/>
      <c r="AG160" s="59"/>
      <c r="AH160" s="59"/>
      <c r="AI160" s="59"/>
      <c r="AJ160" s="59"/>
      <c r="AK160" s="59"/>
    </row>
    <row r="161" hidden="1">
      <c r="A161" s="66"/>
      <c r="B161" s="27"/>
      <c r="C161" s="27"/>
      <c r="D161" s="27"/>
      <c r="E161" s="27"/>
      <c r="F161" s="27"/>
      <c r="G161" s="34" t="s">
        <v>741</v>
      </c>
      <c r="H161" s="15" t="str">
        <f t="shared" si="4"/>
        <v>https://youtube.com/embed/dTsO9XHFhuY</v>
      </c>
      <c r="I161" s="15" t="s">
        <v>742</v>
      </c>
      <c r="J161" s="17" t="str">
        <f>IFERROR(__xludf.DUMMYFUNCTION("CONCATENATE(""CLASE 0"",REGEXEXTRACT(G161,""[\d]+""))"),"CLASE 04")</f>
        <v>CLASE 04</v>
      </c>
      <c r="K161" s="17" t="s">
        <v>263</v>
      </c>
      <c r="L161" s="27"/>
      <c r="M161" s="18"/>
      <c r="N161" s="18"/>
      <c r="O161" s="18"/>
      <c r="P161" s="18"/>
      <c r="Q161" s="59"/>
      <c r="R161" s="21"/>
      <c r="S161" s="21"/>
      <c r="T161" s="59"/>
      <c r="U161" s="59"/>
      <c r="V161" s="59"/>
      <c r="W161" s="59"/>
      <c r="X161" s="59"/>
      <c r="Y161" s="59"/>
      <c r="Z161" s="59"/>
      <c r="AA161" s="59"/>
      <c r="AB161" s="59"/>
      <c r="AC161" s="59"/>
      <c r="AD161" s="59"/>
      <c r="AE161" s="59"/>
      <c r="AF161" s="59"/>
      <c r="AG161" s="59"/>
      <c r="AH161" s="59"/>
      <c r="AI161" s="59"/>
      <c r="AJ161" s="59"/>
      <c r="AK161" s="59"/>
    </row>
    <row r="162" hidden="1">
      <c r="A162" s="11" t="s">
        <v>743</v>
      </c>
      <c r="B162" s="26" t="str">
        <f>TRIM(MID(A162, SEARCH("- ", A162) + 2, LEN(A162)))
</f>
        <v>IMPORTACIÓN Y EXPORTACIÓN DESDE 0: CLAVES PARA EL ÉXITO</v>
      </c>
      <c r="C162" s="13" t="s">
        <v>77</v>
      </c>
      <c r="D162" s="13"/>
      <c r="E162" s="13" t="s">
        <v>63</v>
      </c>
      <c r="F162" s="13" t="s">
        <v>77</v>
      </c>
      <c r="G162" s="57" t="s">
        <v>744</v>
      </c>
      <c r="H162" s="15" t="str">
        <f t="shared" si="4"/>
        <v>https://youtube.com/embed/e7kJA_0GDJ4</v>
      </c>
      <c r="I162" s="15" t="s">
        <v>746</v>
      </c>
      <c r="J162" s="17" t="s">
        <v>170</v>
      </c>
      <c r="K162" s="17" t="s">
        <v>114</v>
      </c>
      <c r="L162" s="56" t="str">
        <f>"COMIENZA DICIENDO QUE ES EL RESUMEN DEL CURSO " &amp; B162 &amp; " DE EDUMIN, LUEGO HAZ EL RESUMEN Y FINALIZA INVITANDO A VER EL RESTO DE RECURSOS DE LAS ZONAS DE EDUMIN."</f>
        <v>COMIENZA DICIENDO QUE ES EL RESUMEN DEL CURSO IMPORTACIÓN Y EXPORTACIÓN DESDE 0: CLAVES PARA EL ÉXITO DE EDUMIN, LUEGO HAZ EL RESUMEN Y FINALIZA INVITANDO A VER EL RESTO DE RECURSOS DE LAS ZONAS DE EDUMIN.</v>
      </c>
      <c r="M162" s="18" t="s">
        <v>747</v>
      </c>
      <c r="N162" s="18" t="s">
        <v>748</v>
      </c>
      <c r="O162" s="18" t="s">
        <v>749</v>
      </c>
      <c r="P162" s="18">
        <v>30.0</v>
      </c>
      <c r="Q162" s="19"/>
      <c r="R162" s="21" t="s">
        <v>122</v>
      </c>
      <c r="S162" s="21" t="s">
        <v>124</v>
      </c>
      <c r="T162" s="19"/>
      <c r="U162" s="19"/>
      <c r="V162" s="19"/>
      <c r="W162" s="19"/>
      <c r="X162" s="19"/>
      <c r="Y162" s="19"/>
      <c r="Z162" s="19"/>
      <c r="AA162" s="19"/>
      <c r="AB162" s="19"/>
      <c r="AC162" s="19"/>
      <c r="AD162" s="19"/>
      <c r="AE162" s="19"/>
      <c r="AF162" s="19"/>
      <c r="AG162" s="19"/>
      <c r="AH162" s="19"/>
      <c r="AI162" s="19"/>
      <c r="AJ162" s="19"/>
      <c r="AK162" s="19"/>
    </row>
    <row r="163" hidden="1">
      <c r="A163" s="23"/>
      <c r="B163" s="23"/>
      <c r="C163" s="23"/>
      <c r="D163" s="23"/>
      <c r="E163" s="23"/>
      <c r="F163" s="23"/>
      <c r="G163" s="57" t="s">
        <v>751</v>
      </c>
      <c r="H163" s="15" t="str">
        <f t="shared" si="4"/>
        <v>https://youtube.com/embed/-nNdpfMN2Vg</v>
      </c>
      <c r="I163" s="15" t="s">
        <v>752</v>
      </c>
      <c r="J163" s="17" t="s">
        <v>185</v>
      </c>
      <c r="K163" s="17" t="s">
        <v>114</v>
      </c>
      <c r="L163" s="37"/>
      <c r="M163" s="18"/>
      <c r="N163" s="18"/>
      <c r="O163" s="18"/>
      <c r="P163" s="18"/>
      <c r="Q163" s="19"/>
      <c r="R163" s="21"/>
      <c r="S163" s="21"/>
      <c r="T163" s="19"/>
      <c r="U163" s="19"/>
      <c r="V163" s="19"/>
      <c r="W163" s="19"/>
      <c r="X163" s="19"/>
      <c r="Y163" s="19"/>
      <c r="Z163" s="19"/>
      <c r="AA163" s="19"/>
      <c r="AB163" s="19"/>
      <c r="AC163" s="19"/>
      <c r="AD163" s="19"/>
      <c r="AE163" s="19"/>
      <c r="AF163" s="19"/>
      <c r="AG163" s="19"/>
      <c r="AH163" s="19"/>
      <c r="AI163" s="19"/>
      <c r="AJ163" s="19"/>
      <c r="AK163" s="19"/>
    </row>
    <row r="164" hidden="1">
      <c r="A164" s="23"/>
      <c r="B164" s="23"/>
      <c r="C164" s="23"/>
      <c r="D164" s="23"/>
      <c r="E164" s="23"/>
      <c r="F164" s="23"/>
      <c r="G164" s="34" t="s">
        <v>754</v>
      </c>
      <c r="H164" s="15" t="str">
        <f t="shared" si="4"/>
        <v>https://youtube.com/embed/3oXKrXXkfaA</v>
      </c>
      <c r="I164" s="15" t="s">
        <v>755</v>
      </c>
      <c r="J164" s="17" t="s">
        <v>192</v>
      </c>
      <c r="K164" s="17" t="s">
        <v>114</v>
      </c>
      <c r="L164" s="37"/>
      <c r="M164" s="18"/>
      <c r="N164" s="18"/>
      <c r="O164" s="18"/>
      <c r="P164" s="18"/>
      <c r="Q164" s="19"/>
      <c r="R164" s="21"/>
      <c r="S164" s="21"/>
      <c r="T164" s="19"/>
      <c r="U164" s="19"/>
      <c r="V164" s="19"/>
      <c r="W164" s="19"/>
      <c r="X164" s="19"/>
      <c r="Y164" s="19"/>
      <c r="Z164" s="19"/>
      <c r="AA164" s="19"/>
      <c r="AB164" s="19"/>
      <c r="AC164" s="19"/>
      <c r="AD164" s="19"/>
      <c r="AE164" s="19"/>
      <c r="AF164" s="19"/>
      <c r="AG164" s="19"/>
      <c r="AH164" s="19"/>
      <c r="AI164" s="19"/>
      <c r="AJ164" s="19"/>
      <c r="AK164" s="19"/>
    </row>
    <row r="165" hidden="1">
      <c r="A165" s="27"/>
      <c r="B165" s="27"/>
      <c r="C165" s="27"/>
      <c r="D165" s="27"/>
      <c r="E165" s="27"/>
      <c r="F165" s="27"/>
      <c r="G165" s="34" t="s">
        <v>757</v>
      </c>
      <c r="H165" s="15" t="str">
        <f t="shared" si="4"/>
        <v>https://youtube.com/embed/Cv_RlmqXSZk</v>
      </c>
      <c r="I165" s="15" t="s">
        <v>758</v>
      </c>
      <c r="J165" s="17" t="s">
        <v>212</v>
      </c>
      <c r="K165" s="17" t="s">
        <v>114</v>
      </c>
      <c r="L165" s="37"/>
      <c r="M165" s="18"/>
      <c r="N165" s="18"/>
      <c r="O165" s="18"/>
      <c r="P165" s="18"/>
      <c r="Q165" s="19"/>
      <c r="R165" s="21"/>
      <c r="S165" s="21"/>
      <c r="T165" s="19"/>
      <c r="U165" s="19"/>
      <c r="V165" s="19"/>
      <c r="W165" s="19"/>
      <c r="X165" s="19"/>
      <c r="Y165" s="19"/>
      <c r="Z165" s="19"/>
      <c r="AA165" s="19"/>
      <c r="AB165" s="19"/>
      <c r="AC165" s="19"/>
      <c r="AD165" s="19"/>
      <c r="AE165" s="19"/>
      <c r="AF165" s="19"/>
      <c r="AG165" s="19"/>
      <c r="AH165" s="19"/>
      <c r="AI165" s="19"/>
      <c r="AJ165" s="19"/>
      <c r="AK165" s="19"/>
    </row>
    <row r="166">
      <c r="A166" s="64" t="s">
        <v>759</v>
      </c>
      <c r="B166" s="26" t="str">
        <f>TRIM(MID(A166, SEARCH("- ", A166) + 2, LEN(A166)))
</f>
        <v>IMPLEMENTACIÓN DE LA NORMA ISO 9001:2015</v>
      </c>
      <c r="C166" s="13" t="s">
        <v>77</v>
      </c>
      <c r="D166" s="13" t="s">
        <v>77</v>
      </c>
      <c r="E166" s="13" t="s">
        <v>235</v>
      </c>
      <c r="F166" s="13" t="s">
        <v>77</v>
      </c>
      <c r="G166" s="34" t="s">
        <v>761</v>
      </c>
      <c r="H166" s="15" t="str">
        <f t="shared" si="4"/>
        <v>https://youtube.com/embed/hmEevJCvEyQ</v>
      </c>
      <c r="I166" s="15" t="s">
        <v>762</v>
      </c>
      <c r="J166" s="30" t="str">
        <f>"COMIENZA DICIENDO QUE ES EL RESUMEN DEL CURSO " &amp; B166 &amp; " DE EDUMIN, LUEGO HAZ EL RESUMEN Y FINALIZA INVITANDO A VER EL RESTO DE RECURSOS DE LAS ZONAS DE EDUMIN."</f>
        <v>COMIENZA DICIENDO QUE ES EL RESUMEN DEL CURSO IMPLEMENTACIÓN DE LA NORMA ISO 9001:2015 DE EDUMIN, LUEGO HAZ EL RESUMEN Y FINALIZA INVITANDO A VER EL RESTO DE RECURSOS DE LAS ZONAS DE EDUMIN.</v>
      </c>
      <c r="K166" s="17" t="s">
        <v>114</v>
      </c>
      <c r="L166" s="18"/>
      <c r="M166" s="18" t="s">
        <v>763</v>
      </c>
      <c r="N166" s="18" t="s">
        <v>764</v>
      </c>
      <c r="O166" s="18" t="s">
        <v>748</v>
      </c>
      <c r="P166" s="18">
        <v>30.0</v>
      </c>
      <c r="Q166" s="19"/>
      <c r="R166" s="21" t="s">
        <v>122</v>
      </c>
      <c r="S166" s="21" t="s">
        <v>124</v>
      </c>
      <c r="T166" s="19"/>
      <c r="U166" s="19"/>
      <c r="V166" s="19"/>
      <c r="W166" s="19"/>
      <c r="X166" s="19"/>
      <c r="Y166" s="19"/>
      <c r="Z166" s="19"/>
      <c r="AA166" s="19"/>
      <c r="AB166" s="19"/>
      <c r="AC166" s="19"/>
      <c r="AD166" s="19"/>
      <c r="AE166" s="19"/>
      <c r="AF166" s="19"/>
      <c r="AG166" s="19"/>
      <c r="AH166" s="19"/>
      <c r="AI166" s="19"/>
      <c r="AJ166" s="19"/>
      <c r="AK166" s="19"/>
    </row>
    <row r="167">
      <c r="A167" s="66"/>
      <c r="B167" s="23"/>
      <c r="C167" s="23"/>
      <c r="D167" s="23"/>
      <c r="E167" s="23"/>
      <c r="F167" s="23"/>
      <c r="G167" s="34" t="s">
        <v>765</v>
      </c>
      <c r="H167" s="15" t="str">
        <f t="shared" si="4"/>
        <v>https://youtube.com/embed/izrq5fGiM28</v>
      </c>
      <c r="I167" s="15" t="s">
        <v>766</v>
      </c>
      <c r="J167" s="37"/>
      <c r="K167" s="17" t="s">
        <v>114</v>
      </c>
      <c r="L167" s="18"/>
      <c r="M167" s="18"/>
      <c r="N167" s="18"/>
      <c r="O167" s="18"/>
      <c r="P167" s="18"/>
      <c r="Q167" s="19"/>
      <c r="R167" s="21"/>
      <c r="S167" s="21"/>
      <c r="T167" s="19"/>
      <c r="U167" s="19"/>
      <c r="V167" s="19"/>
      <c r="W167" s="19"/>
      <c r="X167" s="19"/>
      <c r="Y167" s="19"/>
      <c r="Z167" s="19"/>
      <c r="AA167" s="19"/>
      <c r="AB167" s="19"/>
      <c r="AC167" s="19"/>
      <c r="AD167" s="19"/>
      <c r="AE167" s="19"/>
      <c r="AF167" s="19"/>
      <c r="AG167" s="19"/>
      <c r="AH167" s="19"/>
      <c r="AI167" s="19"/>
      <c r="AJ167" s="19"/>
      <c r="AK167" s="19"/>
    </row>
    <row r="168">
      <c r="A168" s="66"/>
      <c r="B168" s="23"/>
      <c r="C168" s="23"/>
      <c r="D168" s="23"/>
      <c r="E168" s="23"/>
      <c r="F168" s="23"/>
      <c r="G168" s="34" t="s">
        <v>767</v>
      </c>
      <c r="H168" s="15" t="str">
        <f t="shared" si="4"/>
        <v>https://youtube.com/embed/z9TnWuNNVjY</v>
      </c>
      <c r="I168" s="15" t="s">
        <v>768</v>
      </c>
      <c r="J168" s="37"/>
      <c r="K168" s="17" t="s">
        <v>114</v>
      </c>
      <c r="L168" s="18"/>
      <c r="M168" s="18"/>
      <c r="N168" s="18"/>
      <c r="O168" s="18"/>
      <c r="P168" s="18"/>
      <c r="Q168" s="19"/>
      <c r="R168" s="21"/>
      <c r="S168" s="21"/>
      <c r="T168" s="19"/>
      <c r="U168" s="19"/>
      <c r="V168" s="19"/>
      <c r="W168" s="19"/>
      <c r="X168" s="19"/>
      <c r="Y168" s="19"/>
      <c r="Z168" s="19"/>
      <c r="AA168" s="19"/>
      <c r="AB168" s="19"/>
      <c r="AC168" s="19"/>
      <c r="AD168" s="19"/>
      <c r="AE168" s="19"/>
      <c r="AF168" s="19"/>
      <c r="AG168" s="19"/>
      <c r="AH168" s="19"/>
      <c r="AI168" s="19"/>
      <c r="AJ168" s="19"/>
      <c r="AK168" s="19"/>
    </row>
    <row r="169">
      <c r="A169" s="66"/>
      <c r="B169" s="27"/>
      <c r="C169" s="27"/>
      <c r="D169" s="27"/>
      <c r="E169" s="27"/>
      <c r="F169" s="27"/>
      <c r="G169" s="34" t="s">
        <v>769</v>
      </c>
      <c r="H169" s="15" t="str">
        <f t="shared" si="4"/>
        <v>https://youtube.com/embed/2cN7a5yrktM</v>
      </c>
      <c r="I169" s="15" t="s">
        <v>770</v>
      </c>
      <c r="J169" s="37"/>
      <c r="K169" s="17" t="s">
        <v>114</v>
      </c>
      <c r="L169" s="18"/>
      <c r="M169" s="18"/>
      <c r="N169" s="18"/>
      <c r="O169" s="18"/>
      <c r="P169" s="18"/>
      <c r="Q169" s="19"/>
      <c r="R169" s="21"/>
      <c r="S169" s="21"/>
      <c r="T169" s="19"/>
      <c r="U169" s="19"/>
      <c r="V169" s="19"/>
      <c r="W169" s="19"/>
      <c r="X169" s="19"/>
      <c r="Y169" s="19"/>
      <c r="Z169" s="19"/>
      <c r="AA169" s="19"/>
      <c r="AB169" s="19"/>
      <c r="AC169" s="19"/>
      <c r="AD169" s="19"/>
      <c r="AE169" s="19"/>
      <c r="AF169" s="19"/>
      <c r="AG169" s="19"/>
      <c r="AH169" s="19"/>
      <c r="AI169" s="19"/>
      <c r="AJ169" s="19"/>
      <c r="AK169" s="19"/>
    </row>
    <row r="170" hidden="1">
      <c r="A170" s="11" t="s">
        <v>771</v>
      </c>
      <c r="B170" s="26" t="str">
        <f>TRIM(MID(A170, SEARCH("- ", A170) + 2, LEN(A170)))
</f>
        <v>ANÁLISIS DE MERCADOS INTERNACIONALES: ESTRATEGIAS DE IMPORTACIÓN Y EXPORTACIÓN 2025-2026</v>
      </c>
      <c r="C170" s="13" t="s">
        <v>77</v>
      </c>
      <c r="D170" s="13"/>
      <c r="E170" s="13" t="s">
        <v>235</v>
      </c>
      <c r="F170" s="13" t="s">
        <v>77</v>
      </c>
      <c r="G170" s="34" t="s">
        <v>772</v>
      </c>
      <c r="H170" s="15" t="str">
        <f t="shared" si="4"/>
        <v>https://youtube.com/embed/pr5NN0hn5ww</v>
      </c>
      <c r="I170" s="15" t="s">
        <v>774</v>
      </c>
      <c r="J170" s="17" t="s">
        <v>170</v>
      </c>
      <c r="K170" s="17" t="s">
        <v>114</v>
      </c>
      <c r="L170" s="56" t="str">
        <f>"COMIENZA DICIENDO QUE ES EL RESUMEN DEL CURSO " &amp; B170 &amp; " DE EDUMIN, LUEGO HAZ EL RESUMEN Y FINALIZA INVITANDO A VER EL RESTO DE RECURSOS DE LAS ZONAS DE EDUMIN."</f>
        <v>COMIENZA DICIENDO QUE ES EL RESUMEN DEL CURSO ANÁLISIS DE MERCADOS INTERNACIONALES: ESTRATEGIAS DE IMPORTACIÓN Y EXPORTACIÓN 2025-2026 DE EDUMIN, LUEGO HAZ EL RESUMEN Y FINALIZA INVITANDO A VER EL RESTO DE RECURSOS DE LAS ZONAS DE EDUMIN.</v>
      </c>
      <c r="M170" s="18" t="s">
        <v>747</v>
      </c>
      <c r="N170" s="18" t="s">
        <v>748</v>
      </c>
      <c r="O170" s="18" t="s">
        <v>749</v>
      </c>
      <c r="P170" s="18">
        <v>30.0</v>
      </c>
      <c r="Q170" s="19"/>
      <c r="R170" s="21" t="s">
        <v>122</v>
      </c>
      <c r="S170" s="21" t="s">
        <v>124</v>
      </c>
      <c r="T170" s="19"/>
      <c r="U170" s="19"/>
      <c r="V170" s="19"/>
      <c r="W170" s="19"/>
      <c r="X170" s="19"/>
      <c r="Y170" s="19"/>
      <c r="Z170" s="19"/>
      <c r="AA170" s="19"/>
      <c r="AB170" s="19"/>
      <c r="AC170" s="19"/>
      <c r="AD170" s="19"/>
      <c r="AE170" s="19"/>
      <c r="AF170" s="19"/>
      <c r="AG170" s="19"/>
      <c r="AH170" s="19"/>
      <c r="AI170" s="19"/>
      <c r="AJ170" s="19"/>
      <c r="AK170" s="19"/>
    </row>
    <row r="171" hidden="1">
      <c r="A171" s="23"/>
      <c r="B171" s="23"/>
      <c r="C171" s="23"/>
      <c r="D171" s="23"/>
      <c r="E171" s="23"/>
      <c r="F171" s="23"/>
      <c r="G171" s="34" t="s">
        <v>775</v>
      </c>
      <c r="H171" s="15" t="str">
        <f t="shared" si="4"/>
        <v>https://youtube.com/embed/1b4z9bkAack</v>
      </c>
      <c r="I171" s="15" t="s">
        <v>776</v>
      </c>
      <c r="J171" s="17" t="s">
        <v>185</v>
      </c>
      <c r="K171" s="17" t="s">
        <v>114</v>
      </c>
      <c r="L171" s="37"/>
      <c r="M171" s="18"/>
      <c r="N171" s="18"/>
      <c r="O171" s="18"/>
      <c r="P171" s="18"/>
      <c r="Q171" s="19"/>
      <c r="R171" s="21"/>
      <c r="S171" s="21"/>
      <c r="T171" s="19"/>
      <c r="U171" s="19"/>
      <c r="V171" s="19"/>
      <c r="W171" s="19"/>
      <c r="X171" s="19"/>
      <c r="Y171" s="19"/>
      <c r="Z171" s="19"/>
      <c r="AA171" s="19"/>
      <c r="AB171" s="19"/>
      <c r="AC171" s="19"/>
      <c r="AD171" s="19"/>
      <c r="AE171" s="19"/>
      <c r="AF171" s="19"/>
      <c r="AG171" s="19"/>
      <c r="AH171" s="19"/>
      <c r="AI171" s="19"/>
      <c r="AJ171" s="19"/>
      <c r="AK171" s="19"/>
    </row>
    <row r="172" hidden="1">
      <c r="A172" s="23"/>
      <c r="B172" s="23"/>
      <c r="C172" s="23"/>
      <c r="D172" s="23"/>
      <c r="E172" s="23"/>
      <c r="F172" s="23"/>
      <c r="G172" s="34" t="s">
        <v>777</v>
      </c>
      <c r="H172" s="15" t="str">
        <f t="shared" si="4"/>
        <v>https://youtube.com/embed/EMoNdLRn4Ns</v>
      </c>
      <c r="I172" s="15" t="s">
        <v>779</v>
      </c>
      <c r="J172" s="17" t="s">
        <v>192</v>
      </c>
      <c r="K172" s="17" t="s">
        <v>114</v>
      </c>
      <c r="L172" s="37"/>
      <c r="M172" s="18"/>
      <c r="N172" s="18"/>
      <c r="O172" s="18"/>
      <c r="P172" s="18"/>
      <c r="Q172" s="19"/>
      <c r="R172" s="21"/>
      <c r="S172" s="21"/>
      <c r="T172" s="19"/>
      <c r="U172" s="19"/>
      <c r="V172" s="19"/>
      <c r="W172" s="19"/>
      <c r="X172" s="19"/>
      <c r="Y172" s="19"/>
      <c r="Z172" s="19"/>
      <c r="AA172" s="19"/>
      <c r="AB172" s="19"/>
      <c r="AC172" s="19"/>
      <c r="AD172" s="19"/>
      <c r="AE172" s="19"/>
      <c r="AF172" s="19"/>
      <c r="AG172" s="19"/>
      <c r="AH172" s="19"/>
      <c r="AI172" s="19"/>
      <c r="AJ172" s="19"/>
      <c r="AK172" s="19"/>
    </row>
    <row r="173" hidden="1">
      <c r="A173" s="27"/>
      <c r="B173" s="27"/>
      <c r="C173" s="27"/>
      <c r="D173" s="27"/>
      <c r="E173" s="27"/>
      <c r="F173" s="27"/>
      <c r="G173" s="34" t="s">
        <v>780</v>
      </c>
      <c r="H173" s="15" t="str">
        <f t="shared" si="4"/>
        <v>https://youtube.com/embed/NnSKpz6Itq0</v>
      </c>
      <c r="I173" s="15" t="s">
        <v>781</v>
      </c>
      <c r="J173" s="17" t="s">
        <v>212</v>
      </c>
      <c r="K173" s="17" t="s">
        <v>114</v>
      </c>
      <c r="L173" s="37"/>
      <c r="M173" s="18"/>
      <c r="N173" s="18"/>
      <c r="O173" s="18"/>
      <c r="P173" s="18"/>
      <c r="Q173" s="19"/>
      <c r="R173" s="21"/>
      <c r="S173" s="21"/>
      <c r="T173" s="19"/>
      <c r="U173" s="19"/>
      <c r="V173" s="19"/>
      <c r="W173" s="19"/>
      <c r="X173" s="19"/>
      <c r="Y173" s="19"/>
      <c r="Z173" s="19"/>
      <c r="AA173" s="19"/>
      <c r="AB173" s="19"/>
      <c r="AC173" s="19"/>
      <c r="AD173" s="19"/>
      <c r="AE173" s="19"/>
      <c r="AF173" s="19"/>
      <c r="AG173" s="19"/>
      <c r="AH173" s="19"/>
      <c r="AI173" s="19"/>
      <c r="AJ173" s="19"/>
      <c r="AK173" s="19"/>
    </row>
    <row r="174" hidden="1">
      <c r="A174" s="50" t="s">
        <v>782</v>
      </c>
      <c r="B174" s="26" t="str">
        <f>TRIM(MID(A174, SEARCH("- ", A174) + 2, LEN(A174)))
</f>
        <v>DE LA IMPORTACIÓN A LA VENTA ONLINE: IMPLEMENTA TU TIENDA VIRTUAL DESDE CERO</v>
      </c>
      <c r="C174" s="13" t="s">
        <v>77</v>
      </c>
      <c r="D174" s="13"/>
      <c r="E174" s="13" t="s">
        <v>235</v>
      </c>
      <c r="F174" s="13" t="s">
        <v>77</v>
      </c>
      <c r="G174" s="34" t="s">
        <v>784</v>
      </c>
      <c r="H174" s="15" t="str">
        <f t="shared" si="4"/>
        <v>https://youtube.com/embed/u3T1y77D1mE</v>
      </c>
      <c r="I174" s="15" t="s">
        <v>785</v>
      </c>
      <c r="J174" s="17" t="s">
        <v>170</v>
      </c>
      <c r="K174" s="17" t="s">
        <v>114</v>
      </c>
      <c r="L174" s="56" t="str">
        <f>"COMIENZA DICIENDO QUE ES EL RESUMEN DEL CURSO " &amp; B174 &amp; " DE EDUMIN, LUEGO HAZ EL RESUMEN Y FINALIZA INVITANDO A VER EL RESTO DE RECURSOS DE LAS ZONAS DE EDUMIN."</f>
        <v>COMIENZA DICIENDO QUE ES EL RESUMEN DEL CURSO DE LA IMPORTACIÓN A LA VENTA ONLINE: IMPLEMENTA TU TIENDA VIRTUAL DESDE CERO DE EDUMIN, LUEGO HAZ EL RESUMEN Y FINALIZA INVITANDO A VER EL RESTO DE RECURSOS DE LAS ZONAS DE EDUMIN.</v>
      </c>
      <c r="M174" s="18" t="s">
        <v>747</v>
      </c>
      <c r="N174" s="18" t="s">
        <v>748</v>
      </c>
      <c r="O174" s="18" t="s">
        <v>749</v>
      </c>
      <c r="P174" s="18">
        <v>30.0</v>
      </c>
      <c r="Q174" s="19"/>
      <c r="R174" s="21" t="s">
        <v>122</v>
      </c>
      <c r="S174" s="21" t="s">
        <v>124</v>
      </c>
      <c r="T174" s="19"/>
      <c r="U174" s="19"/>
      <c r="V174" s="19"/>
      <c r="W174" s="19"/>
      <c r="X174" s="19"/>
      <c r="Y174" s="19"/>
      <c r="Z174" s="19"/>
      <c r="AA174" s="19"/>
      <c r="AB174" s="19"/>
      <c r="AC174" s="19"/>
      <c r="AD174" s="19"/>
      <c r="AE174" s="19"/>
      <c r="AF174" s="19"/>
      <c r="AG174" s="19"/>
      <c r="AH174" s="19"/>
      <c r="AI174" s="19"/>
      <c r="AJ174" s="19"/>
      <c r="AK174" s="19"/>
    </row>
    <row r="175" hidden="1">
      <c r="A175" s="23"/>
      <c r="B175" s="23"/>
      <c r="C175" s="23"/>
      <c r="D175" s="23"/>
      <c r="E175" s="23"/>
      <c r="F175" s="23"/>
      <c r="G175" s="34" t="s">
        <v>787</v>
      </c>
      <c r="H175" s="15" t="str">
        <f t="shared" si="4"/>
        <v>https://youtube.com/embed/r4dLVZh7oi8</v>
      </c>
      <c r="I175" s="15" t="s">
        <v>788</v>
      </c>
      <c r="J175" s="17" t="s">
        <v>185</v>
      </c>
      <c r="K175" s="17" t="s">
        <v>114</v>
      </c>
      <c r="L175" s="37"/>
      <c r="M175" s="18"/>
      <c r="N175" s="18"/>
      <c r="O175" s="18"/>
      <c r="P175" s="18"/>
      <c r="Q175" s="19"/>
      <c r="R175" s="21"/>
      <c r="S175" s="21"/>
      <c r="T175" s="19"/>
      <c r="U175" s="19"/>
      <c r="V175" s="19"/>
      <c r="W175" s="19"/>
      <c r="X175" s="19"/>
      <c r="Y175" s="19"/>
      <c r="Z175" s="19"/>
      <c r="AA175" s="19"/>
      <c r="AB175" s="19"/>
      <c r="AC175" s="19"/>
      <c r="AD175" s="19"/>
      <c r="AE175" s="19"/>
      <c r="AF175" s="19"/>
      <c r="AG175" s="19"/>
      <c r="AH175" s="19"/>
      <c r="AI175" s="19"/>
      <c r="AJ175" s="19"/>
      <c r="AK175" s="19"/>
    </row>
    <row r="176" hidden="1">
      <c r="A176" s="23"/>
      <c r="B176" s="23"/>
      <c r="C176" s="23"/>
      <c r="D176" s="23"/>
      <c r="E176" s="23"/>
      <c r="F176" s="23"/>
      <c r="G176" s="34" t="s">
        <v>789</v>
      </c>
      <c r="H176" s="15" t="str">
        <f t="shared" si="4"/>
        <v>https://youtube.com/embed/0Yni3p0o1_8</v>
      </c>
      <c r="I176" s="15" t="s">
        <v>790</v>
      </c>
      <c r="J176" s="17" t="s">
        <v>192</v>
      </c>
      <c r="K176" s="17" t="s">
        <v>114</v>
      </c>
      <c r="L176" s="37"/>
      <c r="M176" s="18"/>
      <c r="N176" s="18"/>
      <c r="O176" s="18"/>
      <c r="P176" s="18"/>
      <c r="Q176" s="19"/>
      <c r="R176" s="21"/>
      <c r="S176" s="21"/>
      <c r="T176" s="19"/>
      <c r="U176" s="19"/>
      <c r="V176" s="19"/>
      <c r="W176" s="19"/>
      <c r="X176" s="19"/>
      <c r="Y176" s="19"/>
      <c r="Z176" s="19"/>
      <c r="AA176" s="19"/>
      <c r="AB176" s="19"/>
      <c r="AC176" s="19"/>
      <c r="AD176" s="19"/>
      <c r="AE176" s="19"/>
      <c r="AF176" s="19"/>
      <c r="AG176" s="19"/>
      <c r="AH176" s="19"/>
      <c r="AI176" s="19"/>
      <c r="AJ176" s="19"/>
      <c r="AK176" s="19"/>
    </row>
    <row r="177" hidden="1">
      <c r="A177" s="27"/>
      <c r="B177" s="27"/>
      <c r="C177" s="27"/>
      <c r="D177" s="27"/>
      <c r="E177" s="27"/>
      <c r="F177" s="27"/>
      <c r="G177" s="34" t="s">
        <v>791</v>
      </c>
      <c r="H177" s="15" t="str">
        <f t="shared" si="4"/>
        <v>https://youtube.com/embed/_9ZYtXAN_Fo</v>
      </c>
      <c r="I177" s="15" t="s">
        <v>793</v>
      </c>
      <c r="J177" s="17" t="s">
        <v>212</v>
      </c>
      <c r="K177" s="17" t="s">
        <v>114</v>
      </c>
      <c r="L177" s="37"/>
      <c r="M177" s="18"/>
      <c r="N177" s="18"/>
      <c r="O177" s="18"/>
      <c r="P177" s="18"/>
      <c r="Q177" s="19"/>
      <c r="R177" s="21"/>
      <c r="S177" s="21"/>
      <c r="T177" s="19"/>
      <c r="U177" s="19"/>
      <c r="V177" s="19"/>
      <c r="W177" s="19"/>
      <c r="X177" s="19"/>
      <c r="Y177" s="19"/>
      <c r="Z177" s="19"/>
      <c r="AA177" s="19"/>
      <c r="AB177" s="19"/>
      <c r="AC177" s="19"/>
      <c r="AD177" s="19"/>
      <c r="AE177" s="19"/>
      <c r="AF177" s="19"/>
      <c r="AG177" s="19"/>
      <c r="AH177" s="19"/>
      <c r="AI177" s="19"/>
      <c r="AJ177" s="19"/>
      <c r="AK177" s="19"/>
    </row>
    <row r="178">
      <c r="A178" s="50" t="s">
        <v>794</v>
      </c>
      <c r="B178" s="26" t="str">
        <f>TRIM(MID(A178, SEARCH("- ", A178) + 2, LEN(A178)))
</f>
        <v>CONTROL Y SUPERVISIÓN DE PROCESOS CON SOFTWARE SCADA</v>
      </c>
      <c r="C178" s="13" t="s">
        <v>77</v>
      </c>
      <c r="D178" s="13"/>
      <c r="E178" s="70" t="s">
        <v>57</v>
      </c>
      <c r="F178" s="13" t="s">
        <v>77</v>
      </c>
      <c r="G178" s="34" t="s">
        <v>796</v>
      </c>
      <c r="H178" s="15" t="str">
        <f t="shared" si="4"/>
        <v>https://youtube.com/embed/L60EirO0BZo</v>
      </c>
      <c r="I178" s="15" t="s">
        <v>797</v>
      </c>
      <c r="J178" s="17" t="s">
        <v>170</v>
      </c>
      <c r="K178" s="17" t="s">
        <v>114</v>
      </c>
      <c r="L178" s="60" t="str">
        <f>"COMIENZA DICIENDO QUE ES EL RESUMEN DEL CURSO " &amp; B178 &amp; " DE EDUMIN, LUEGO HAZ EL RESUMEN Y FINALIZA INVITANDO A VER EL RESTO DE RECURSOS DE LAS ZONAS DE EDUMIN."</f>
        <v>COMIENZA DICIENDO QUE ES EL RESUMEN DEL CURSO CONTROL Y SUPERVISIÓN DE PROCESOS CON SOFTWARE SCADA DE EDUMIN, LUEGO HAZ EL RESUMEN Y FINALIZA INVITANDO A VER EL RESTO DE RECURSOS DE LAS ZONAS DE EDUMIN.</v>
      </c>
      <c r="M178" s="18" t="s">
        <v>763</v>
      </c>
      <c r="N178" s="18" t="s">
        <v>764</v>
      </c>
      <c r="O178" s="18" t="s">
        <v>748</v>
      </c>
      <c r="P178" s="18">
        <v>30.0</v>
      </c>
      <c r="Q178" s="19"/>
      <c r="R178" s="21" t="s">
        <v>122</v>
      </c>
      <c r="S178" s="21" t="s">
        <v>124</v>
      </c>
      <c r="T178" s="19"/>
      <c r="U178" s="19"/>
      <c r="V178" s="19"/>
      <c r="W178" s="19"/>
      <c r="X178" s="19"/>
      <c r="Y178" s="19"/>
      <c r="Z178" s="19"/>
      <c r="AA178" s="19"/>
      <c r="AB178" s="19"/>
      <c r="AC178" s="19"/>
      <c r="AD178" s="19"/>
      <c r="AE178" s="19"/>
      <c r="AF178" s="19"/>
      <c r="AG178" s="19"/>
      <c r="AH178" s="19"/>
      <c r="AI178" s="19"/>
      <c r="AJ178" s="19"/>
      <c r="AK178" s="19"/>
    </row>
    <row r="179">
      <c r="A179" s="23"/>
      <c r="B179" s="23"/>
      <c r="C179" s="23"/>
      <c r="D179" s="23"/>
      <c r="E179" s="23"/>
      <c r="F179" s="23"/>
      <c r="G179" s="34" t="s">
        <v>798</v>
      </c>
      <c r="H179" s="15" t="str">
        <f t="shared" si="4"/>
        <v>https://youtube.com/embed/EU6VnAfIiJw</v>
      </c>
      <c r="I179" s="15" t="s">
        <v>799</v>
      </c>
      <c r="J179" s="17" t="s">
        <v>185</v>
      </c>
      <c r="K179" s="17" t="s">
        <v>114</v>
      </c>
      <c r="L179" s="17" t="s">
        <v>510</v>
      </c>
      <c r="M179" s="18"/>
      <c r="N179" s="18"/>
      <c r="O179" s="18"/>
      <c r="P179" s="18"/>
      <c r="Q179" s="19"/>
      <c r="R179" s="21"/>
      <c r="S179" s="21"/>
      <c r="T179" s="19"/>
      <c r="U179" s="19"/>
      <c r="V179" s="19"/>
      <c r="W179" s="19"/>
      <c r="X179" s="19"/>
      <c r="Y179" s="19"/>
      <c r="Z179" s="19"/>
      <c r="AA179" s="19"/>
      <c r="AB179" s="19"/>
      <c r="AC179" s="19"/>
      <c r="AD179" s="19"/>
      <c r="AE179" s="19"/>
      <c r="AF179" s="19"/>
      <c r="AG179" s="19"/>
      <c r="AH179" s="19"/>
      <c r="AI179" s="19"/>
      <c r="AJ179" s="19"/>
      <c r="AK179" s="19"/>
    </row>
    <row r="180">
      <c r="A180" s="23"/>
      <c r="B180" s="23"/>
      <c r="C180" s="23"/>
      <c r="D180" s="23"/>
      <c r="E180" s="23"/>
      <c r="F180" s="23"/>
      <c r="G180" s="34" t="s">
        <v>801</v>
      </c>
      <c r="H180" s="15" t="str">
        <f t="shared" si="4"/>
        <v>https://youtube.com/embed/DqKQ0hY2wmA</v>
      </c>
      <c r="I180" s="15" t="s">
        <v>802</v>
      </c>
      <c r="J180" s="17" t="s">
        <v>192</v>
      </c>
      <c r="K180" s="17" t="s">
        <v>114</v>
      </c>
      <c r="L180" s="18"/>
      <c r="M180" s="18"/>
      <c r="N180" s="18"/>
      <c r="O180" s="18"/>
      <c r="P180" s="18"/>
      <c r="Q180" s="19"/>
      <c r="R180" s="21"/>
      <c r="S180" s="21"/>
      <c r="T180" s="19"/>
      <c r="U180" s="19"/>
      <c r="V180" s="19"/>
      <c r="W180" s="19"/>
      <c r="X180" s="19"/>
      <c r="Y180" s="19"/>
      <c r="Z180" s="19"/>
      <c r="AA180" s="19"/>
      <c r="AB180" s="19"/>
      <c r="AC180" s="19"/>
      <c r="AD180" s="19"/>
      <c r="AE180" s="19"/>
      <c r="AF180" s="19"/>
      <c r="AG180" s="19"/>
      <c r="AH180" s="19"/>
      <c r="AI180" s="19"/>
      <c r="AJ180" s="19"/>
      <c r="AK180" s="19"/>
    </row>
    <row r="181">
      <c r="A181" s="27"/>
      <c r="B181" s="27"/>
      <c r="C181" s="27"/>
      <c r="D181" s="27"/>
      <c r="E181" s="27"/>
      <c r="F181" s="27"/>
      <c r="G181" s="34" t="s">
        <v>803</v>
      </c>
      <c r="H181" s="15" t="str">
        <f t="shared" si="4"/>
        <v>https://youtube.com/embed/kafa4hfjkaY</v>
      </c>
      <c r="I181" s="15" t="s">
        <v>804</v>
      </c>
      <c r="J181" s="17" t="s">
        <v>212</v>
      </c>
      <c r="K181" s="17" t="s">
        <v>114</v>
      </c>
      <c r="L181" s="18"/>
      <c r="M181" s="18"/>
      <c r="N181" s="18"/>
      <c r="O181" s="18"/>
      <c r="P181" s="18"/>
      <c r="Q181" s="19"/>
      <c r="R181" s="21"/>
      <c r="S181" s="21"/>
      <c r="T181" s="19"/>
      <c r="U181" s="19"/>
      <c r="V181" s="19"/>
      <c r="W181" s="19"/>
      <c r="X181" s="19"/>
      <c r="Y181" s="19"/>
      <c r="Z181" s="19"/>
      <c r="AA181" s="19"/>
      <c r="AB181" s="19"/>
      <c r="AC181" s="19"/>
      <c r="AD181" s="19"/>
      <c r="AE181" s="19"/>
      <c r="AF181" s="19"/>
      <c r="AG181" s="19"/>
      <c r="AH181" s="19"/>
      <c r="AI181" s="19"/>
      <c r="AJ181" s="19"/>
      <c r="AK181" s="19"/>
    </row>
    <row r="182" hidden="1">
      <c r="A182" s="66" t="s">
        <v>806</v>
      </c>
      <c r="B182" s="26" t="str">
        <f>TRIM(MID(A182, SEARCH("- ", A182) + 2, LEN(A182)))
</f>
        <v>GESTIÓN DE OPERACIONES Y PROCESOS EN LA MINERÍA</v>
      </c>
      <c r="C182" s="13" t="s">
        <v>77</v>
      </c>
      <c r="D182" s="13" t="s">
        <v>77</v>
      </c>
      <c r="E182" s="70" t="s">
        <v>57</v>
      </c>
      <c r="F182" s="13" t="s">
        <v>77</v>
      </c>
      <c r="G182" s="34" t="s">
        <v>808</v>
      </c>
      <c r="H182" s="15" t="str">
        <f t="shared" si="4"/>
        <v>https://youtube.com/embed/sAjv8SsYdYQ</v>
      </c>
      <c r="I182" s="15" t="s">
        <v>809</v>
      </c>
      <c r="J182" s="17" t="str">
        <f>IFERROR(__xludf.DUMMYFUNCTION("CONCATENATE(""CLASE 0"",REGEXEXTRACT(G182,""[\d]+""))"),"CLASE 01")</f>
        <v>CLASE 01</v>
      </c>
      <c r="K182" s="17" t="s">
        <v>263</v>
      </c>
      <c r="L182" s="65" t="s">
        <v>510</v>
      </c>
      <c r="M182" s="18" t="s">
        <v>747</v>
      </c>
      <c r="N182" s="18" t="s">
        <v>748</v>
      </c>
      <c r="O182" s="18" t="s">
        <v>749</v>
      </c>
      <c r="P182" s="18">
        <v>30.0</v>
      </c>
      <c r="Q182" s="19"/>
      <c r="R182" s="21" t="s">
        <v>122</v>
      </c>
      <c r="S182" s="21" t="s">
        <v>124</v>
      </c>
      <c r="T182" s="19"/>
      <c r="U182" s="19"/>
      <c r="V182" s="19"/>
      <c r="W182" s="19"/>
      <c r="X182" s="19"/>
      <c r="Y182" s="19"/>
      <c r="Z182" s="19"/>
      <c r="AA182" s="19"/>
      <c r="AB182" s="19"/>
      <c r="AC182" s="19"/>
      <c r="AD182" s="19"/>
      <c r="AE182" s="19"/>
      <c r="AF182" s="19"/>
      <c r="AG182" s="19"/>
      <c r="AH182" s="19"/>
      <c r="AI182" s="19"/>
      <c r="AJ182" s="19"/>
      <c r="AK182" s="19"/>
    </row>
    <row r="183" hidden="1">
      <c r="A183" s="66"/>
      <c r="B183" s="23"/>
      <c r="C183" s="23"/>
      <c r="D183" s="23"/>
      <c r="E183" s="23"/>
      <c r="F183" s="23"/>
      <c r="G183" s="34" t="s">
        <v>810</v>
      </c>
      <c r="H183" s="15" t="str">
        <f t="shared" si="4"/>
        <v>https://youtube.com/embed/4OhWNU40hqE</v>
      </c>
      <c r="I183" s="15" t="s">
        <v>811</v>
      </c>
      <c r="J183" s="17" t="str">
        <f>IFERROR(__xludf.DUMMYFUNCTION("CONCATENATE(""CLASE 0"",REGEXEXTRACT(G183,""[\d]+""))"),"CLASE 02")</f>
        <v>CLASE 02</v>
      </c>
      <c r="K183" s="17" t="s">
        <v>263</v>
      </c>
      <c r="L183" s="23"/>
      <c r="M183" s="18"/>
      <c r="N183" s="18"/>
      <c r="O183" s="18"/>
      <c r="P183" s="18"/>
      <c r="Q183" s="19"/>
      <c r="R183" s="21"/>
      <c r="S183" s="21"/>
      <c r="T183" s="19"/>
      <c r="U183" s="19"/>
      <c r="V183" s="19"/>
      <c r="W183" s="19"/>
      <c r="X183" s="19"/>
      <c r="Y183" s="19"/>
      <c r="Z183" s="19"/>
      <c r="AA183" s="19"/>
      <c r="AB183" s="19"/>
      <c r="AC183" s="19"/>
      <c r="AD183" s="19"/>
      <c r="AE183" s="19"/>
      <c r="AF183" s="19"/>
      <c r="AG183" s="19"/>
      <c r="AH183" s="19"/>
      <c r="AI183" s="19"/>
      <c r="AJ183" s="19"/>
      <c r="AK183" s="19"/>
    </row>
    <row r="184" hidden="1">
      <c r="A184" s="66"/>
      <c r="B184" s="23"/>
      <c r="C184" s="23"/>
      <c r="D184" s="23"/>
      <c r="E184" s="23"/>
      <c r="F184" s="23"/>
      <c r="G184" s="34" t="s">
        <v>813</v>
      </c>
      <c r="H184" s="15" t="str">
        <f t="shared" si="4"/>
        <v>https://youtube.com/embed/h9iOVLt3jLI</v>
      </c>
      <c r="I184" s="15" t="s">
        <v>814</v>
      </c>
      <c r="J184" s="17" t="str">
        <f>IFERROR(__xludf.DUMMYFUNCTION("CONCATENATE(""CLASE 0"",REGEXEXTRACT(G184,""[\d]+""))"),"CLASE 03")</f>
        <v>CLASE 03</v>
      </c>
      <c r="K184" s="17" t="s">
        <v>263</v>
      </c>
      <c r="L184" s="23"/>
      <c r="M184" s="18"/>
      <c r="N184" s="18"/>
      <c r="O184" s="18"/>
      <c r="P184" s="18"/>
      <c r="Q184" s="19"/>
      <c r="R184" s="21"/>
      <c r="S184" s="21"/>
      <c r="T184" s="19"/>
      <c r="U184" s="19"/>
      <c r="V184" s="19"/>
      <c r="W184" s="19"/>
      <c r="X184" s="19"/>
      <c r="Y184" s="19"/>
      <c r="Z184" s="19"/>
      <c r="AA184" s="19"/>
      <c r="AB184" s="19"/>
      <c r="AC184" s="19"/>
      <c r="AD184" s="19"/>
      <c r="AE184" s="19"/>
      <c r="AF184" s="19"/>
      <c r="AG184" s="19"/>
      <c r="AH184" s="19"/>
      <c r="AI184" s="19"/>
      <c r="AJ184" s="19"/>
      <c r="AK184" s="19"/>
    </row>
    <row r="185" hidden="1">
      <c r="A185" s="66"/>
      <c r="B185" s="27"/>
      <c r="C185" s="27"/>
      <c r="D185" s="27"/>
      <c r="E185" s="27"/>
      <c r="F185" s="27"/>
      <c r="G185" s="34" t="s">
        <v>815</v>
      </c>
      <c r="H185" s="15" t="str">
        <f t="shared" si="4"/>
        <v>https://youtube.com/embed/IbGloENJvgw</v>
      </c>
      <c r="I185" s="15" t="s">
        <v>816</v>
      </c>
      <c r="J185" s="17" t="str">
        <f>IFERROR(__xludf.DUMMYFUNCTION("CONCATENATE(""CLASE 0"",REGEXEXTRACT(G185,""[\d]+""))"),"CLASE 04")</f>
        <v>CLASE 04</v>
      </c>
      <c r="K185" s="17" t="s">
        <v>263</v>
      </c>
      <c r="L185" s="27"/>
      <c r="M185" s="18"/>
      <c r="N185" s="18"/>
      <c r="O185" s="18"/>
      <c r="P185" s="18"/>
      <c r="Q185" s="19"/>
      <c r="R185" s="21"/>
      <c r="S185" s="21"/>
      <c r="T185" s="19"/>
      <c r="U185" s="19"/>
      <c r="V185" s="19"/>
      <c r="W185" s="19"/>
      <c r="X185" s="19"/>
      <c r="Y185" s="19"/>
      <c r="Z185" s="19"/>
      <c r="AA185" s="19"/>
      <c r="AB185" s="19"/>
      <c r="AC185" s="19"/>
      <c r="AD185" s="19"/>
      <c r="AE185" s="19"/>
      <c r="AF185" s="19"/>
      <c r="AG185" s="19"/>
      <c r="AH185" s="19"/>
      <c r="AI185" s="19"/>
      <c r="AJ185" s="19"/>
      <c r="AK185" s="19"/>
    </row>
    <row r="186" hidden="1">
      <c r="A186" s="64" t="s">
        <v>817</v>
      </c>
      <c r="B186" s="26" t="str">
        <f>TRIM(MID(A186, SEARCH("- ", A186) + 2, LEN(A186)))
</f>
        <v>PIRÁMIDE DE PROCESOS: TÉCNICAS DE CONTROL EN MINERÍA</v>
      </c>
      <c r="C186" s="13" t="s">
        <v>77</v>
      </c>
      <c r="D186" s="13" t="s">
        <v>77</v>
      </c>
      <c r="E186" s="70" t="s">
        <v>57</v>
      </c>
      <c r="F186" s="13" t="s">
        <v>77</v>
      </c>
      <c r="G186" s="34" t="s">
        <v>819</v>
      </c>
      <c r="H186" s="15" t="str">
        <f t="shared" si="4"/>
        <v>https://youtube.com/embed/dbwp_nmBYWk</v>
      </c>
      <c r="I186" s="15" t="s">
        <v>820</v>
      </c>
      <c r="J186" s="17" t="str">
        <f>IFERROR(__xludf.DUMMYFUNCTION("CONCATENATE(""CLASE 0"",REGEXEXTRACT(G186,""[\d]+""))"),"CLASE 01")</f>
        <v>CLASE 01</v>
      </c>
      <c r="K186" s="17" t="s">
        <v>263</v>
      </c>
      <c r="L186" s="65" t="s">
        <v>510</v>
      </c>
      <c r="M186" s="18" t="s">
        <v>747</v>
      </c>
      <c r="N186" s="18" t="s">
        <v>748</v>
      </c>
      <c r="O186" s="18" t="s">
        <v>749</v>
      </c>
      <c r="P186" s="18">
        <v>30.0</v>
      </c>
      <c r="Q186" s="19"/>
      <c r="R186" s="21" t="s">
        <v>122</v>
      </c>
      <c r="S186" s="21" t="s">
        <v>124</v>
      </c>
      <c r="T186" s="19"/>
      <c r="U186" s="19"/>
      <c r="V186" s="19"/>
      <c r="W186" s="19"/>
      <c r="X186" s="19"/>
      <c r="Y186" s="19"/>
      <c r="Z186" s="19"/>
      <c r="AA186" s="19"/>
      <c r="AB186" s="19"/>
      <c r="AC186" s="19"/>
      <c r="AD186" s="19"/>
      <c r="AE186" s="19"/>
      <c r="AF186" s="19"/>
      <c r="AG186" s="19"/>
      <c r="AH186" s="19"/>
      <c r="AI186" s="19"/>
      <c r="AJ186" s="19"/>
      <c r="AK186" s="19"/>
    </row>
    <row r="187" hidden="1">
      <c r="A187" s="66"/>
      <c r="B187" s="23"/>
      <c r="C187" s="23"/>
      <c r="D187" s="23"/>
      <c r="E187" s="23"/>
      <c r="F187" s="23"/>
      <c r="G187" s="34" t="s">
        <v>821</v>
      </c>
      <c r="H187" s="15" t="str">
        <f t="shared" si="4"/>
        <v>https://youtube.com/embed/r8Tpp4XEuuc</v>
      </c>
      <c r="I187" s="15" t="s">
        <v>822</v>
      </c>
      <c r="J187" s="17" t="str">
        <f>IFERROR(__xludf.DUMMYFUNCTION("CONCATENATE(""CLASE 0"",REGEXEXTRACT(G187,""[\d]+""))"),"CLASE 02")</f>
        <v>CLASE 02</v>
      </c>
      <c r="K187" s="17" t="s">
        <v>263</v>
      </c>
      <c r="L187" s="23"/>
      <c r="M187" s="18"/>
      <c r="N187" s="18"/>
      <c r="O187" s="18"/>
      <c r="P187" s="18"/>
      <c r="Q187" s="19"/>
      <c r="R187" s="21"/>
      <c r="S187" s="21"/>
      <c r="T187" s="19"/>
      <c r="U187" s="19"/>
      <c r="V187" s="19"/>
      <c r="W187" s="19"/>
      <c r="X187" s="19"/>
      <c r="Y187" s="19"/>
      <c r="Z187" s="19"/>
      <c r="AA187" s="19"/>
      <c r="AB187" s="19"/>
      <c r="AC187" s="19"/>
      <c r="AD187" s="19"/>
      <c r="AE187" s="19"/>
      <c r="AF187" s="19"/>
      <c r="AG187" s="19"/>
      <c r="AH187" s="19"/>
      <c r="AI187" s="19"/>
      <c r="AJ187" s="19"/>
      <c r="AK187" s="19"/>
    </row>
    <row r="188" hidden="1">
      <c r="A188" s="66"/>
      <c r="B188" s="23"/>
      <c r="C188" s="23"/>
      <c r="D188" s="23"/>
      <c r="E188" s="23"/>
      <c r="F188" s="23"/>
      <c r="G188" s="34" t="s">
        <v>824</v>
      </c>
      <c r="H188" s="15" t="str">
        <f t="shared" si="4"/>
        <v>https://youtube.com/embed/OVcI4-VLfFs</v>
      </c>
      <c r="I188" s="15" t="s">
        <v>825</v>
      </c>
      <c r="J188" s="17" t="str">
        <f>IFERROR(__xludf.DUMMYFUNCTION("CONCATENATE(""CLASE 0"",REGEXEXTRACT(G188,""[\d]+""))"),"CLASE 03")</f>
        <v>CLASE 03</v>
      </c>
      <c r="K188" s="17" t="s">
        <v>263</v>
      </c>
      <c r="L188" s="23"/>
      <c r="M188" s="18"/>
      <c r="N188" s="18"/>
      <c r="O188" s="18"/>
      <c r="P188" s="18"/>
      <c r="Q188" s="19"/>
      <c r="R188" s="21"/>
      <c r="S188" s="21"/>
      <c r="T188" s="19"/>
      <c r="U188" s="19"/>
      <c r="V188" s="19"/>
      <c r="W188" s="19"/>
      <c r="X188" s="19"/>
      <c r="Y188" s="19"/>
      <c r="Z188" s="19"/>
      <c r="AA188" s="19"/>
      <c r="AB188" s="19"/>
      <c r="AC188" s="19"/>
      <c r="AD188" s="19"/>
      <c r="AE188" s="19"/>
      <c r="AF188" s="19"/>
      <c r="AG188" s="19"/>
      <c r="AH188" s="19"/>
      <c r="AI188" s="19"/>
      <c r="AJ188" s="19"/>
      <c r="AK188" s="19"/>
    </row>
    <row r="189" hidden="1">
      <c r="A189" s="66"/>
      <c r="B189" s="27"/>
      <c r="C189" s="27"/>
      <c r="D189" s="27"/>
      <c r="E189" s="27"/>
      <c r="F189" s="27"/>
      <c r="G189" s="34" t="s">
        <v>827</v>
      </c>
      <c r="H189" s="15" t="str">
        <f t="shared" si="4"/>
        <v>https://youtube.com/embed/RLMviTPK33o</v>
      </c>
      <c r="I189" s="15" t="s">
        <v>828</v>
      </c>
      <c r="J189" s="17" t="str">
        <f>IFERROR(__xludf.DUMMYFUNCTION("CONCATENATE(""CLASE 0"",REGEXEXTRACT(G189,""[\d]+""))"),"CLASE 04")</f>
        <v>CLASE 04</v>
      </c>
      <c r="K189" s="17" t="s">
        <v>263</v>
      </c>
      <c r="L189" s="27"/>
      <c r="M189" s="18"/>
      <c r="N189" s="18"/>
      <c r="O189" s="18"/>
      <c r="P189" s="18"/>
      <c r="Q189" s="19"/>
      <c r="R189" s="21"/>
      <c r="S189" s="21"/>
      <c r="T189" s="19"/>
      <c r="U189" s="19"/>
      <c r="V189" s="19"/>
      <c r="W189" s="19"/>
      <c r="X189" s="19"/>
      <c r="Y189" s="19"/>
      <c r="Z189" s="19"/>
      <c r="AA189" s="19"/>
      <c r="AB189" s="19"/>
      <c r="AC189" s="19"/>
      <c r="AD189" s="19"/>
      <c r="AE189" s="19"/>
      <c r="AF189" s="19"/>
      <c r="AG189" s="19"/>
      <c r="AH189" s="19"/>
      <c r="AI189" s="19"/>
      <c r="AJ189" s="19"/>
      <c r="AK189" s="19"/>
    </row>
    <row r="190" hidden="1">
      <c r="A190" s="66" t="s">
        <v>829</v>
      </c>
      <c r="B190" s="26" t="str">
        <f>TRIM(MID(A190, SEARCH("- ", A190) + 2, LEN(A190)))
</f>
        <v>PROCESO DE OPTIMIZACIÓN DEL MANTENIMIENTOS A PARTIR DEL USO DE TÉCNICAS DE LA INDUSTRIA 4.0</v>
      </c>
      <c r="C190" s="13" t="s">
        <v>77</v>
      </c>
      <c r="D190" s="13" t="s">
        <v>77</v>
      </c>
      <c r="E190" s="70" t="s">
        <v>57</v>
      </c>
      <c r="F190" s="13" t="s">
        <v>77</v>
      </c>
      <c r="G190" s="57" t="s">
        <v>831</v>
      </c>
      <c r="H190" s="15" t="str">
        <f t="shared" si="4"/>
        <v>https://youtube.com/embed/4Kpqdz8Nrnk</v>
      </c>
      <c r="I190" s="15" t="s">
        <v>832</v>
      </c>
      <c r="J190" s="17" t="str">
        <f>IFERROR(__xludf.DUMMYFUNCTION("CONCATENATE(""CLASE 0"",REGEXEXTRACT(G190,""[\d]+""))"),"CLASE 01")</f>
        <v>CLASE 01</v>
      </c>
      <c r="K190" s="17" t="s">
        <v>510</v>
      </c>
      <c r="L190" s="65" t="s">
        <v>510</v>
      </c>
      <c r="M190" s="18" t="s">
        <v>747</v>
      </c>
      <c r="N190" s="18" t="s">
        <v>748</v>
      </c>
      <c r="O190" s="18" t="s">
        <v>749</v>
      </c>
      <c r="P190" s="18">
        <v>30.0</v>
      </c>
      <c r="Q190" s="19"/>
      <c r="R190" s="21" t="s">
        <v>122</v>
      </c>
      <c r="S190" s="21" t="s">
        <v>124</v>
      </c>
      <c r="T190" s="19"/>
      <c r="U190" s="19"/>
      <c r="V190" s="19"/>
      <c r="W190" s="19"/>
      <c r="X190" s="19"/>
      <c r="Y190" s="19"/>
      <c r="Z190" s="19"/>
      <c r="AA190" s="19"/>
      <c r="AB190" s="19"/>
      <c r="AC190" s="19"/>
      <c r="AD190" s="19"/>
      <c r="AE190" s="19"/>
      <c r="AF190" s="19"/>
      <c r="AG190" s="19"/>
      <c r="AH190" s="19"/>
      <c r="AI190" s="19"/>
      <c r="AJ190" s="19"/>
      <c r="AK190" s="19"/>
    </row>
    <row r="191" hidden="1">
      <c r="A191" s="66"/>
      <c r="B191" s="23"/>
      <c r="C191" s="23"/>
      <c r="D191" s="23"/>
      <c r="E191" s="23"/>
      <c r="F191" s="23"/>
      <c r="G191" s="34" t="s">
        <v>834</v>
      </c>
      <c r="H191" s="15" t="str">
        <f t="shared" si="4"/>
        <v>https://youtube.com/embed/hxP4e5ibcwA</v>
      </c>
      <c r="I191" s="15" t="s">
        <v>835</v>
      </c>
      <c r="J191" s="17" t="str">
        <f>IFERROR(__xludf.DUMMYFUNCTION("CONCATENATE(""CLASE 0"",REGEXEXTRACT(G191,""[\d]+""))"),"CLASE 02")</f>
        <v>CLASE 02</v>
      </c>
      <c r="K191" s="17" t="s">
        <v>510</v>
      </c>
      <c r="L191" s="23"/>
      <c r="M191" s="18"/>
      <c r="N191" s="18"/>
      <c r="O191" s="18"/>
      <c r="P191" s="18"/>
      <c r="Q191" s="19"/>
      <c r="R191" s="21"/>
      <c r="S191" s="21"/>
      <c r="T191" s="19"/>
      <c r="U191" s="19"/>
      <c r="V191" s="19"/>
      <c r="W191" s="19"/>
      <c r="X191" s="19"/>
      <c r="Y191" s="19"/>
      <c r="Z191" s="19"/>
      <c r="AA191" s="19"/>
      <c r="AB191" s="19"/>
      <c r="AC191" s="19"/>
      <c r="AD191" s="19"/>
      <c r="AE191" s="19"/>
      <c r="AF191" s="19"/>
      <c r="AG191" s="19"/>
      <c r="AH191" s="19"/>
      <c r="AI191" s="19"/>
      <c r="AJ191" s="19"/>
      <c r="AK191" s="19"/>
    </row>
    <row r="192" hidden="1">
      <c r="A192" s="66"/>
      <c r="B192" s="23"/>
      <c r="C192" s="23"/>
      <c r="D192" s="23"/>
      <c r="E192" s="23"/>
      <c r="F192" s="23"/>
      <c r="G192" s="34" t="s">
        <v>837</v>
      </c>
      <c r="H192" s="15" t="str">
        <f t="shared" si="4"/>
        <v>https://youtube.com/embed/cMNjuR9axxI</v>
      </c>
      <c r="I192" s="15" t="s">
        <v>838</v>
      </c>
      <c r="J192" s="17" t="str">
        <f>IFERROR(__xludf.DUMMYFUNCTION("CONCATENATE(""CLASE 0"",REGEXEXTRACT(G192,""[\d]+""))"),"CLASE 03")</f>
        <v>CLASE 03</v>
      </c>
      <c r="K192" s="17" t="s">
        <v>510</v>
      </c>
      <c r="L192" s="23"/>
      <c r="M192" s="18"/>
      <c r="N192" s="18"/>
      <c r="O192" s="18"/>
      <c r="P192" s="18"/>
      <c r="Q192" s="19"/>
      <c r="R192" s="21"/>
      <c r="S192" s="21"/>
      <c r="T192" s="19"/>
      <c r="U192" s="19"/>
      <c r="V192" s="19"/>
      <c r="W192" s="19"/>
      <c r="X192" s="19"/>
      <c r="Y192" s="19"/>
      <c r="Z192" s="19"/>
      <c r="AA192" s="19"/>
      <c r="AB192" s="19"/>
      <c r="AC192" s="19"/>
      <c r="AD192" s="19"/>
      <c r="AE192" s="19"/>
      <c r="AF192" s="19"/>
      <c r="AG192" s="19"/>
      <c r="AH192" s="19"/>
      <c r="AI192" s="19"/>
      <c r="AJ192" s="19"/>
      <c r="AK192" s="19"/>
    </row>
    <row r="193" hidden="1">
      <c r="A193" s="66"/>
      <c r="B193" s="27"/>
      <c r="C193" s="27"/>
      <c r="D193" s="27"/>
      <c r="E193" s="27"/>
      <c r="F193" s="27"/>
      <c r="G193" s="34" t="s">
        <v>840</v>
      </c>
      <c r="H193" s="15" t="str">
        <f t="shared" si="4"/>
        <v>https://youtube.com/embed/ag4TFSMV1KQ</v>
      </c>
      <c r="I193" s="15" t="s">
        <v>841</v>
      </c>
      <c r="J193" s="17" t="str">
        <f>IFERROR(__xludf.DUMMYFUNCTION("CONCATENATE(""CLASE 0"",REGEXEXTRACT(G193,""[\d]+""))"),"CLASE 04")</f>
        <v>CLASE 04</v>
      </c>
      <c r="K193" s="17" t="s">
        <v>510</v>
      </c>
      <c r="L193" s="27"/>
      <c r="M193" s="18"/>
      <c r="N193" s="18"/>
      <c r="O193" s="18"/>
      <c r="P193" s="18"/>
      <c r="Q193" s="19"/>
      <c r="R193" s="21"/>
      <c r="S193" s="21"/>
      <c r="T193" s="19"/>
      <c r="U193" s="19"/>
      <c r="V193" s="19"/>
      <c r="W193" s="19"/>
      <c r="X193" s="19"/>
      <c r="Y193" s="19"/>
      <c r="Z193" s="19"/>
      <c r="AA193" s="19"/>
      <c r="AB193" s="19"/>
      <c r="AC193" s="19"/>
      <c r="AD193" s="19"/>
      <c r="AE193" s="19"/>
      <c r="AF193" s="19"/>
      <c r="AG193" s="19"/>
      <c r="AH193" s="19"/>
      <c r="AI193" s="19"/>
      <c r="AJ193" s="19"/>
      <c r="AK193" s="19"/>
    </row>
    <row r="194">
      <c r="A194" s="66" t="s">
        <v>843</v>
      </c>
      <c r="B194" s="26" t="str">
        <f>TRIM(MID(A194, SEARCH("- ", A194) + 2, LEN(A194)))
</f>
        <v>SISTEMAS INTEGRADOS PARA LA GESTIÓN DE MANTENIMIENTO</v>
      </c>
      <c r="C194" s="13" t="s">
        <v>77</v>
      </c>
      <c r="D194" s="13" t="s">
        <v>77</v>
      </c>
      <c r="E194" s="70" t="s">
        <v>57</v>
      </c>
      <c r="F194" s="13" t="s">
        <v>77</v>
      </c>
      <c r="G194" s="57" t="s">
        <v>844</v>
      </c>
      <c r="H194" s="15" t="str">
        <f t="shared" si="4"/>
        <v>https://youtube.com/embed/HqH0V36anrM</v>
      </c>
      <c r="I194" s="15" t="s">
        <v>845</v>
      </c>
      <c r="J194" s="30" t="str">
        <f>"COMIENZA DICIENDO QUE ES EL RESUMEN DEL CURSO " &amp; B194 &amp; " DE EDUMIN, LUEGO HAZ EL RESUMEN Y FINALIZA INVITANDO A VER EL RESTO DE RECURSOS DE LAS ZONAS DE EDUMIN."</f>
        <v>COMIENZA DICIENDO QUE ES EL RESUMEN DEL CURSO SISTEMAS INTEGRADOS PARA LA GESTIÓN DE MANTENIMIENTO DE EDUMIN, LUEGO HAZ EL RESUMEN Y FINALIZA INVITANDO A VER EL RESTO DE RECURSOS DE LAS ZONAS DE EDUMIN.</v>
      </c>
      <c r="K194" s="17" t="s">
        <v>114</v>
      </c>
      <c r="L194" s="18"/>
      <c r="M194" s="18" t="s">
        <v>747</v>
      </c>
      <c r="N194" s="18" t="s">
        <v>748</v>
      </c>
      <c r="O194" s="18" t="s">
        <v>749</v>
      </c>
      <c r="P194" s="18">
        <v>30.0</v>
      </c>
      <c r="Q194" s="19"/>
      <c r="R194" s="21" t="s">
        <v>122</v>
      </c>
      <c r="S194" s="21" t="s">
        <v>124</v>
      </c>
      <c r="T194" s="19"/>
      <c r="U194" s="19"/>
      <c r="V194" s="19"/>
      <c r="W194" s="19"/>
      <c r="X194" s="19"/>
      <c r="Y194" s="19"/>
      <c r="Z194" s="19"/>
      <c r="AA194" s="19"/>
      <c r="AB194" s="19"/>
      <c r="AC194" s="19"/>
      <c r="AD194" s="19"/>
      <c r="AE194" s="19"/>
      <c r="AF194" s="19"/>
      <c r="AG194" s="19"/>
      <c r="AH194" s="19"/>
      <c r="AI194" s="19"/>
      <c r="AJ194" s="19"/>
      <c r="AK194" s="19"/>
    </row>
    <row r="195">
      <c r="A195" s="71"/>
      <c r="B195" s="23"/>
      <c r="C195" s="23"/>
      <c r="D195" s="23"/>
      <c r="E195" s="23"/>
      <c r="F195" s="23"/>
      <c r="G195" s="34" t="s">
        <v>847</v>
      </c>
      <c r="H195" s="15" t="str">
        <f t="shared" si="4"/>
        <v>https://youtube.com/embed/Ipo2ozYYxTI</v>
      </c>
      <c r="I195" s="15" t="s">
        <v>848</v>
      </c>
      <c r="J195" s="37"/>
      <c r="K195" s="17" t="s">
        <v>114</v>
      </c>
      <c r="L195" s="18"/>
      <c r="M195" s="18"/>
      <c r="N195" s="18"/>
      <c r="O195" s="18"/>
      <c r="P195" s="18"/>
      <c r="Q195" s="19"/>
      <c r="R195" s="21"/>
      <c r="S195" s="21"/>
      <c r="T195" s="19"/>
      <c r="U195" s="19"/>
      <c r="V195" s="19"/>
      <c r="W195" s="19"/>
      <c r="X195" s="19"/>
      <c r="Y195" s="19"/>
      <c r="Z195" s="19"/>
      <c r="AA195" s="19"/>
      <c r="AB195" s="19"/>
      <c r="AC195" s="19"/>
      <c r="AD195" s="19"/>
      <c r="AE195" s="19"/>
      <c r="AF195" s="19"/>
      <c r="AG195" s="19"/>
      <c r="AH195" s="19"/>
      <c r="AI195" s="19"/>
      <c r="AJ195" s="19"/>
      <c r="AK195" s="19"/>
    </row>
    <row r="196">
      <c r="A196" s="71"/>
      <c r="B196" s="23"/>
      <c r="C196" s="23"/>
      <c r="D196" s="23"/>
      <c r="E196" s="23"/>
      <c r="F196" s="23"/>
      <c r="G196" s="57" t="s">
        <v>850</v>
      </c>
      <c r="H196" s="15" t="str">
        <f t="shared" si="4"/>
        <v>https://youtube.com/embed/6d8l7sW5AQA</v>
      </c>
      <c r="I196" s="15" t="s">
        <v>851</v>
      </c>
      <c r="J196" s="37"/>
      <c r="K196" s="17" t="s">
        <v>114</v>
      </c>
      <c r="L196" s="18"/>
      <c r="M196" s="18"/>
      <c r="N196" s="18"/>
      <c r="O196" s="18"/>
      <c r="P196" s="18"/>
      <c r="Q196" s="19"/>
      <c r="R196" s="21"/>
      <c r="S196" s="21"/>
      <c r="T196" s="19"/>
      <c r="U196" s="19"/>
      <c r="V196" s="19"/>
      <c r="W196" s="19"/>
      <c r="X196" s="19"/>
      <c r="Y196" s="19"/>
      <c r="Z196" s="19"/>
      <c r="AA196" s="19"/>
      <c r="AB196" s="19"/>
      <c r="AC196" s="19"/>
      <c r="AD196" s="19"/>
      <c r="AE196" s="19"/>
      <c r="AF196" s="19"/>
      <c r="AG196" s="19"/>
      <c r="AH196" s="19"/>
      <c r="AI196" s="19"/>
      <c r="AJ196" s="19"/>
      <c r="AK196" s="19"/>
    </row>
    <row r="197">
      <c r="A197" s="71"/>
      <c r="B197" s="27"/>
      <c r="C197" s="27"/>
      <c r="D197" s="27"/>
      <c r="E197" s="27"/>
      <c r="F197" s="27"/>
      <c r="G197" s="34" t="s">
        <v>853</v>
      </c>
      <c r="H197" s="15" t="str">
        <f t="shared" si="4"/>
        <v>https://youtube.com/embed/eVnHbhhQJkI</v>
      </c>
      <c r="I197" s="15" t="s">
        <v>854</v>
      </c>
      <c r="J197" s="37"/>
      <c r="K197" s="17" t="s">
        <v>114</v>
      </c>
      <c r="L197" s="18"/>
      <c r="M197" s="18"/>
      <c r="N197" s="18"/>
      <c r="O197" s="18"/>
      <c r="P197" s="18"/>
      <c r="Q197" s="19"/>
      <c r="R197" s="21"/>
      <c r="S197" s="21"/>
      <c r="T197" s="19"/>
      <c r="U197" s="19"/>
      <c r="V197" s="19"/>
      <c r="W197" s="19"/>
      <c r="X197" s="19"/>
      <c r="Y197" s="19"/>
      <c r="Z197" s="19"/>
      <c r="AA197" s="19"/>
      <c r="AB197" s="19"/>
      <c r="AC197" s="19"/>
      <c r="AD197" s="19"/>
      <c r="AE197" s="19"/>
      <c r="AF197" s="19"/>
      <c r="AG197" s="19"/>
      <c r="AH197" s="19"/>
      <c r="AI197" s="19"/>
      <c r="AJ197" s="19"/>
      <c r="AK197" s="19"/>
    </row>
    <row r="198">
      <c r="A198" s="74" t="s">
        <v>856</v>
      </c>
      <c r="B198" s="26" t="str">
        <f>TRIM(MID(A198, SEARCH("- ", A198) + 2, LEN(A198)))
</f>
        <v>ESTÁNDARES Y SISTEMA DE CALIDAD DEL MANTENIMIENTO</v>
      </c>
      <c r="C198" s="13" t="s">
        <v>77</v>
      </c>
      <c r="D198" s="13" t="s">
        <v>77</v>
      </c>
      <c r="E198" s="70" t="s">
        <v>57</v>
      </c>
      <c r="F198" s="13" t="s">
        <v>77</v>
      </c>
      <c r="G198" s="75" t="s">
        <v>857</v>
      </c>
      <c r="H198" s="15" t="str">
        <f t="shared" si="4"/>
        <v>https://youtube.com/embed/RNWy1Iqjy4U</v>
      </c>
      <c r="I198" s="15" t="s">
        <v>858</v>
      </c>
      <c r="J198" s="30" t="str">
        <f>"COMIENZA DICIENDO QUE ES EL RESUMEN DEL CURSO " &amp; B198 &amp; " DE EDUMIN, LUEGO HAZ EL RESUMEN Y FINALIZA INVITANDO A VER EL RESTO DE RECURSOS DE LAS ZONAS DE EDUMIN."</f>
        <v>COMIENZA DICIENDO QUE ES EL RESUMEN DEL CURSO ESTÁNDARES Y SISTEMA DE CALIDAD DEL MANTENIMIENTO DE EDUMIN, LUEGO HAZ EL RESUMEN Y FINALIZA INVITANDO A VER EL RESTO DE RECURSOS DE LAS ZONAS DE EDUMIN.</v>
      </c>
      <c r="K198" s="17" t="s">
        <v>114</v>
      </c>
      <c r="L198" s="18"/>
      <c r="M198" s="18" t="s">
        <v>747</v>
      </c>
      <c r="N198" s="18" t="s">
        <v>748</v>
      </c>
      <c r="O198" s="18" t="s">
        <v>749</v>
      </c>
      <c r="P198" s="18">
        <v>30.0</v>
      </c>
      <c r="Q198" s="19"/>
      <c r="R198" s="21" t="s">
        <v>122</v>
      </c>
      <c r="S198" s="21" t="s">
        <v>124</v>
      </c>
      <c r="T198" s="19"/>
      <c r="U198" s="19"/>
      <c r="V198" s="19"/>
      <c r="W198" s="19"/>
      <c r="X198" s="19"/>
      <c r="Y198" s="19"/>
      <c r="Z198" s="19"/>
      <c r="AA198" s="19"/>
      <c r="AB198" s="19"/>
      <c r="AC198" s="19"/>
      <c r="AD198" s="19"/>
      <c r="AE198" s="19"/>
      <c r="AF198" s="19"/>
      <c r="AG198" s="19"/>
      <c r="AH198" s="19"/>
      <c r="AI198" s="19"/>
      <c r="AJ198" s="19"/>
      <c r="AK198" s="19"/>
    </row>
    <row r="199">
      <c r="A199" s="66"/>
      <c r="B199" s="23"/>
      <c r="C199" s="23"/>
      <c r="D199" s="23"/>
      <c r="E199" s="23"/>
      <c r="F199" s="23"/>
      <c r="G199" s="57" t="s">
        <v>860</v>
      </c>
      <c r="H199" s="15" t="str">
        <f t="shared" si="4"/>
        <v>https://youtube.com/embed/DJpYHQkhy_A</v>
      </c>
      <c r="I199" s="15" t="s">
        <v>861</v>
      </c>
      <c r="J199" s="37"/>
      <c r="K199" s="17" t="s">
        <v>114</v>
      </c>
      <c r="L199" s="18"/>
      <c r="M199" s="18"/>
      <c r="N199" s="18"/>
      <c r="O199" s="18"/>
      <c r="P199" s="18"/>
      <c r="Q199" s="19"/>
      <c r="R199" s="21"/>
      <c r="S199" s="21"/>
      <c r="T199" s="19"/>
      <c r="U199" s="19"/>
      <c r="V199" s="19"/>
      <c r="W199" s="19"/>
      <c r="X199" s="19"/>
      <c r="Y199" s="19"/>
      <c r="Z199" s="19"/>
      <c r="AA199" s="19"/>
      <c r="AB199" s="19"/>
      <c r="AC199" s="19"/>
      <c r="AD199" s="19"/>
      <c r="AE199" s="19"/>
      <c r="AF199" s="19"/>
      <c r="AG199" s="19"/>
      <c r="AH199" s="19"/>
      <c r="AI199" s="19"/>
      <c r="AJ199" s="19"/>
      <c r="AK199" s="19"/>
    </row>
    <row r="200">
      <c r="A200" s="66"/>
      <c r="B200" s="23"/>
      <c r="C200" s="23"/>
      <c r="D200" s="23"/>
      <c r="E200" s="23"/>
      <c r="F200" s="23"/>
      <c r="G200" s="57" t="s">
        <v>863</v>
      </c>
      <c r="H200" s="15" t="str">
        <f t="shared" si="4"/>
        <v>https://youtube.com/embed/4B16cOWl0Ws</v>
      </c>
      <c r="I200" s="15" t="s">
        <v>864</v>
      </c>
      <c r="J200" s="37"/>
      <c r="K200" s="17" t="s">
        <v>114</v>
      </c>
      <c r="L200" s="18"/>
      <c r="M200" s="18"/>
      <c r="N200" s="18"/>
      <c r="O200" s="18"/>
      <c r="P200" s="18"/>
      <c r="Q200" s="19"/>
      <c r="R200" s="21"/>
      <c r="S200" s="21"/>
      <c r="T200" s="19"/>
      <c r="U200" s="19"/>
      <c r="V200" s="19"/>
      <c r="W200" s="19"/>
      <c r="X200" s="19"/>
      <c r="Y200" s="19"/>
      <c r="Z200" s="19"/>
      <c r="AA200" s="19"/>
      <c r="AB200" s="19"/>
      <c r="AC200" s="19"/>
      <c r="AD200" s="19"/>
      <c r="AE200" s="19"/>
      <c r="AF200" s="19"/>
      <c r="AG200" s="19"/>
      <c r="AH200" s="19"/>
      <c r="AI200" s="19"/>
      <c r="AJ200" s="19"/>
      <c r="AK200" s="19"/>
    </row>
    <row r="201">
      <c r="A201" s="66"/>
      <c r="B201" s="27"/>
      <c r="C201" s="27"/>
      <c r="D201" s="27"/>
      <c r="E201" s="27"/>
      <c r="F201" s="27"/>
      <c r="G201" s="16"/>
      <c r="H201" s="63"/>
      <c r="I201" s="63"/>
      <c r="J201" s="37"/>
      <c r="K201" s="17" t="s">
        <v>114</v>
      </c>
      <c r="L201" s="18"/>
      <c r="M201" s="18"/>
      <c r="N201" s="18"/>
      <c r="O201" s="18"/>
      <c r="P201" s="18"/>
      <c r="Q201" s="19"/>
      <c r="R201" s="21"/>
      <c r="S201" s="21"/>
      <c r="T201" s="19"/>
      <c r="U201" s="19"/>
      <c r="V201" s="19"/>
      <c r="W201" s="19"/>
      <c r="X201" s="19"/>
      <c r="Y201" s="19"/>
      <c r="Z201" s="19"/>
      <c r="AA201" s="19"/>
      <c r="AB201" s="19"/>
      <c r="AC201" s="19"/>
      <c r="AD201" s="19"/>
      <c r="AE201" s="19"/>
      <c r="AF201" s="19"/>
      <c r="AG201" s="19"/>
      <c r="AH201" s="19"/>
      <c r="AI201" s="19"/>
      <c r="AJ201" s="19"/>
      <c r="AK201" s="19"/>
    </row>
    <row r="202" hidden="1">
      <c r="A202" s="50" t="s">
        <v>866</v>
      </c>
      <c r="B202" s="26" t="str">
        <f>TRIM(MID(A202, SEARCH("- ", A202) + 2, LEN(A202)))
</f>
        <v>DOCUMENTACIÓN Y TRÁMITES ADUANEROS</v>
      </c>
      <c r="C202" s="13" t="s">
        <v>77</v>
      </c>
      <c r="D202" s="13"/>
      <c r="E202" s="13" t="s">
        <v>63</v>
      </c>
      <c r="F202" s="13" t="s">
        <v>77</v>
      </c>
      <c r="G202" s="57" t="s">
        <v>867</v>
      </c>
      <c r="H202" s="15" t="str">
        <f t="shared" ref="H202:H232" si="5">SUBSTITUTE(LEFT(MID(G202,FIND("https",G202),99),FIND("?",G202)-FIND("https",G202)), "/live/", "/embed/")</f>
        <v>https://youtube.com/embed/PvFPYZou8-g</v>
      </c>
      <c r="I202" s="15" t="s">
        <v>868</v>
      </c>
      <c r="J202" s="17" t="s">
        <v>170</v>
      </c>
      <c r="K202" s="17" t="s">
        <v>114</v>
      </c>
      <c r="L202" s="56" t="str">
        <f>"COMIENZA DICIENDO QUE ES EL RESUMEN DEL CURSO " &amp; B202 &amp; " DE EDUMIN, LUEGO HAZ EL RESUMEN Y FINALIZA INVITANDO A VER EL RESTO DE RECURSOS DE LAS ZONAS DE EDUMIN."</f>
        <v>COMIENZA DICIENDO QUE ES EL RESUMEN DEL CURSO DOCUMENTACIÓN Y TRÁMITES ADUANEROS DE EDUMIN, LUEGO HAZ EL RESUMEN Y FINALIZA INVITANDO A VER EL RESTO DE RECURSOS DE LAS ZONAS DE EDUMIN.</v>
      </c>
      <c r="M202" s="18" t="s">
        <v>870</v>
      </c>
      <c r="N202" s="18" t="s">
        <v>871</v>
      </c>
      <c r="O202" s="18" t="s">
        <v>872</v>
      </c>
      <c r="P202" s="18">
        <v>30.0</v>
      </c>
      <c r="Q202" s="19"/>
      <c r="R202" s="21" t="s">
        <v>122</v>
      </c>
      <c r="S202" s="21" t="s">
        <v>124</v>
      </c>
      <c r="T202" s="19"/>
      <c r="U202" s="19"/>
      <c r="V202" s="19"/>
      <c r="W202" s="19"/>
      <c r="X202" s="19"/>
      <c r="Y202" s="19"/>
      <c r="Z202" s="19"/>
      <c r="AA202" s="19"/>
      <c r="AB202" s="19"/>
      <c r="AC202" s="19"/>
      <c r="AD202" s="19"/>
      <c r="AE202" s="19"/>
      <c r="AF202" s="19"/>
      <c r="AG202" s="19"/>
      <c r="AH202" s="19"/>
      <c r="AI202" s="19"/>
      <c r="AJ202" s="19"/>
      <c r="AK202" s="19"/>
    </row>
    <row r="203" hidden="1">
      <c r="A203" s="23"/>
      <c r="B203" s="23"/>
      <c r="C203" s="23"/>
      <c r="D203" s="23"/>
      <c r="E203" s="23"/>
      <c r="F203" s="23"/>
      <c r="G203" s="34" t="s">
        <v>873</v>
      </c>
      <c r="H203" s="15" t="str">
        <f t="shared" si="5"/>
        <v>https://youtube.com/embed/MAy_-7UKQKI</v>
      </c>
      <c r="I203" s="15" t="s">
        <v>874</v>
      </c>
      <c r="J203" s="17" t="s">
        <v>185</v>
      </c>
      <c r="K203" s="17" t="s">
        <v>114</v>
      </c>
      <c r="L203" s="37"/>
      <c r="M203" s="18"/>
      <c r="N203" s="18"/>
      <c r="O203" s="18"/>
      <c r="P203" s="18"/>
      <c r="Q203" s="19"/>
      <c r="R203" s="21"/>
      <c r="S203" s="21"/>
      <c r="T203" s="19"/>
      <c r="U203" s="19"/>
      <c r="V203" s="19"/>
      <c r="W203" s="19"/>
      <c r="X203" s="19"/>
      <c r="Y203" s="19"/>
      <c r="Z203" s="19"/>
      <c r="AA203" s="19"/>
      <c r="AB203" s="19"/>
      <c r="AC203" s="19"/>
      <c r="AD203" s="19"/>
      <c r="AE203" s="19"/>
      <c r="AF203" s="19"/>
      <c r="AG203" s="19"/>
      <c r="AH203" s="19"/>
      <c r="AI203" s="19"/>
      <c r="AJ203" s="19"/>
      <c r="AK203" s="19"/>
    </row>
    <row r="204" hidden="1">
      <c r="A204" s="23"/>
      <c r="B204" s="23"/>
      <c r="C204" s="23"/>
      <c r="D204" s="23"/>
      <c r="E204" s="23"/>
      <c r="F204" s="23"/>
      <c r="G204" s="34" t="s">
        <v>876</v>
      </c>
      <c r="H204" s="15" t="str">
        <f t="shared" si="5"/>
        <v>https://youtube.com/embed/HXX6l6MavAE</v>
      </c>
      <c r="I204" s="15" t="s">
        <v>877</v>
      </c>
      <c r="J204" s="17" t="s">
        <v>192</v>
      </c>
      <c r="K204" s="17" t="s">
        <v>114</v>
      </c>
      <c r="L204" s="37"/>
      <c r="M204" s="18"/>
      <c r="N204" s="18"/>
      <c r="O204" s="18"/>
      <c r="P204" s="18"/>
      <c r="Q204" s="19"/>
      <c r="R204" s="21"/>
      <c r="S204" s="21"/>
      <c r="T204" s="19"/>
      <c r="U204" s="19"/>
      <c r="V204" s="19"/>
      <c r="W204" s="19"/>
      <c r="X204" s="19"/>
      <c r="Y204" s="19"/>
      <c r="Z204" s="19"/>
      <c r="AA204" s="19"/>
      <c r="AB204" s="19"/>
      <c r="AC204" s="19"/>
      <c r="AD204" s="19"/>
      <c r="AE204" s="19"/>
      <c r="AF204" s="19"/>
      <c r="AG204" s="19"/>
      <c r="AH204" s="19"/>
      <c r="AI204" s="19"/>
      <c r="AJ204" s="19"/>
      <c r="AK204" s="19"/>
    </row>
    <row r="205" hidden="1">
      <c r="A205" s="27"/>
      <c r="B205" s="27"/>
      <c r="C205" s="27"/>
      <c r="D205" s="27"/>
      <c r="E205" s="27"/>
      <c r="F205" s="27"/>
      <c r="G205" s="34" t="s">
        <v>878</v>
      </c>
      <c r="H205" s="15" t="str">
        <f t="shared" si="5"/>
        <v>https://youtube.com/embed/Xyo9Znb6iP4</v>
      </c>
      <c r="I205" s="15" t="s">
        <v>880</v>
      </c>
      <c r="J205" s="17" t="s">
        <v>212</v>
      </c>
      <c r="K205" s="17" t="s">
        <v>114</v>
      </c>
      <c r="L205" s="37"/>
      <c r="M205" s="18"/>
      <c r="N205" s="18"/>
      <c r="O205" s="18"/>
      <c r="P205" s="18"/>
      <c r="Q205" s="19"/>
      <c r="R205" s="21"/>
      <c r="S205" s="21"/>
      <c r="T205" s="19"/>
      <c r="U205" s="19"/>
      <c r="V205" s="19"/>
      <c r="W205" s="19"/>
      <c r="X205" s="19"/>
      <c r="Y205" s="19"/>
      <c r="Z205" s="19"/>
      <c r="AA205" s="19"/>
      <c r="AB205" s="19"/>
      <c r="AC205" s="19"/>
      <c r="AD205" s="19"/>
      <c r="AE205" s="19"/>
      <c r="AF205" s="19"/>
      <c r="AG205" s="19"/>
      <c r="AH205" s="19"/>
      <c r="AI205" s="19"/>
      <c r="AJ205" s="19"/>
      <c r="AK205" s="19"/>
    </row>
    <row r="206" hidden="1">
      <c r="A206" s="50" t="s">
        <v>881</v>
      </c>
      <c r="B206" s="26" t="str">
        <f>TRIM(MID(A206, SEARCH("- ", A206) + 2, LEN(A206)))
</f>
        <v>REVISIÓN DE PROVEEDORES PARA EVITAR ESTAFAS EN IMPORTACIONES CHINAS</v>
      </c>
      <c r="C206" s="13" t="s">
        <v>77</v>
      </c>
      <c r="D206" s="13"/>
      <c r="E206" s="13" t="s">
        <v>63</v>
      </c>
      <c r="F206" s="13" t="s">
        <v>77</v>
      </c>
      <c r="G206" s="34" t="s">
        <v>883</v>
      </c>
      <c r="H206" s="15" t="str">
        <f t="shared" si="5"/>
        <v>https://youtube.com/embed/jowPe8soOHI</v>
      </c>
      <c r="I206" s="15" t="s">
        <v>884</v>
      </c>
      <c r="J206" s="17" t="s">
        <v>170</v>
      </c>
      <c r="K206" s="17" t="s">
        <v>114</v>
      </c>
      <c r="L206" s="56" t="str">
        <f>"COMIENZA DICIENDO QUE ES EL RESUMEN DEL CURSO " &amp; B206 &amp; " DE EDUMIN, LUEGO HAZ EL RESUMEN Y FINALIZA INVITANDO A VER EL RESTO DE RECURSOS DE LAS ZONAS DE EDUMIN."</f>
        <v>COMIENZA DICIENDO QUE ES EL RESUMEN DEL CURSO REVISIÓN DE PROVEEDORES PARA EVITAR ESTAFAS EN IMPORTACIONES CHINAS DE EDUMIN, LUEGO HAZ EL RESUMEN Y FINALIZA INVITANDO A VER EL RESTO DE RECURSOS DE LAS ZONAS DE EDUMIN.</v>
      </c>
      <c r="M206" s="18" t="s">
        <v>870</v>
      </c>
      <c r="N206" s="18" t="s">
        <v>871</v>
      </c>
      <c r="O206" s="18" t="s">
        <v>872</v>
      </c>
      <c r="P206" s="18">
        <v>30.0</v>
      </c>
      <c r="Q206" s="19"/>
      <c r="R206" s="21" t="s">
        <v>122</v>
      </c>
      <c r="S206" s="21" t="s">
        <v>124</v>
      </c>
      <c r="T206" s="19"/>
      <c r="U206" s="19"/>
      <c r="V206" s="19"/>
      <c r="W206" s="19"/>
      <c r="X206" s="19"/>
      <c r="Y206" s="19"/>
      <c r="Z206" s="19"/>
      <c r="AA206" s="19"/>
      <c r="AB206" s="19"/>
      <c r="AC206" s="19"/>
      <c r="AD206" s="19"/>
      <c r="AE206" s="19"/>
      <c r="AF206" s="19"/>
      <c r="AG206" s="19"/>
      <c r="AH206" s="19"/>
      <c r="AI206" s="19"/>
      <c r="AJ206" s="19"/>
      <c r="AK206" s="19"/>
    </row>
    <row r="207" hidden="1">
      <c r="A207" s="23"/>
      <c r="B207" s="23"/>
      <c r="C207" s="23"/>
      <c r="D207" s="23"/>
      <c r="E207" s="23"/>
      <c r="F207" s="23"/>
      <c r="G207" s="34" t="s">
        <v>885</v>
      </c>
      <c r="H207" s="15" t="str">
        <f t="shared" si="5"/>
        <v>https://youtube.com/embed/ubqOmwBq9D4</v>
      </c>
      <c r="I207" s="15" t="s">
        <v>887</v>
      </c>
      <c r="J207" s="17" t="s">
        <v>185</v>
      </c>
      <c r="K207" s="17" t="s">
        <v>114</v>
      </c>
      <c r="L207" s="37"/>
      <c r="M207" s="18"/>
      <c r="N207" s="18"/>
      <c r="O207" s="18"/>
      <c r="P207" s="18"/>
      <c r="Q207" s="19"/>
      <c r="R207" s="21"/>
      <c r="S207" s="21"/>
      <c r="T207" s="19"/>
      <c r="U207" s="19"/>
      <c r="V207" s="19"/>
      <c r="W207" s="19"/>
      <c r="X207" s="19"/>
      <c r="Y207" s="19"/>
      <c r="Z207" s="19"/>
      <c r="AA207" s="19"/>
      <c r="AB207" s="19"/>
      <c r="AC207" s="19"/>
      <c r="AD207" s="19"/>
      <c r="AE207" s="19"/>
      <c r="AF207" s="19"/>
      <c r="AG207" s="19"/>
      <c r="AH207" s="19"/>
      <c r="AI207" s="19"/>
      <c r="AJ207" s="19"/>
      <c r="AK207" s="19"/>
    </row>
    <row r="208" hidden="1">
      <c r="A208" s="23"/>
      <c r="B208" s="23"/>
      <c r="C208" s="23"/>
      <c r="D208" s="23"/>
      <c r="E208" s="23"/>
      <c r="F208" s="23"/>
      <c r="G208" s="34" t="s">
        <v>888</v>
      </c>
      <c r="H208" s="15" t="str">
        <f t="shared" si="5"/>
        <v>https://youtube.com/embed/_upwR4wVXrE</v>
      </c>
      <c r="I208" s="15" t="s">
        <v>889</v>
      </c>
      <c r="J208" s="17" t="s">
        <v>192</v>
      </c>
      <c r="K208" s="17" t="s">
        <v>114</v>
      </c>
      <c r="L208" s="37"/>
      <c r="M208" s="18"/>
      <c r="N208" s="18"/>
      <c r="O208" s="18"/>
      <c r="P208" s="18"/>
      <c r="Q208" s="19"/>
      <c r="R208" s="21"/>
      <c r="S208" s="21"/>
      <c r="T208" s="19"/>
      <c r="U208" s="19"/>
      <c r="V208" s="19"/>
      <c r="W208" s="19"/>
      <c r="X208" s="19"/>
      <c r="Y208" s="19"/>
      <c r="Z208" s="19"/>
      <c r="AA208" s="19"/>
      <c r="AB208" s="19"/>
      <c r="AC208" s="19"/>
      <c r="AD208" s="19"/>
      <c r="AE208" s="19"/>
      <c r="AF208" s="19"/>
      <c r="AG208" s="19"/>
      <c r="AH208" s="19"/>
      <c r="AI208" s="19"/>
      <c r="AJ208" s="19"/>
      <c r="AK208" s="19"/>
    </row>
    <row r="209" hidden="1">
      <c r="A209" s="27"/>
      <c r="B209" s="27"/>
      <c r="C209" s="27"/>
      <c r="D209" s="27"/>
      <c r="E209" s="27"/>
      <c r="F209" s="27"/>
      <c r="G209" s="34" t="s">
        <v>891</v>
      </c>
      <c r="H209" s="15" t="str">
        <f t="shared" si="5"/>
        <v>https://youtube.com/embed/1xk5ezPw1Eg</v>
      </c>
      <c r="I209" s="15" t="s">
        <v>892</v>
      </c>
      <c r="J209" s="17" t="s">
        <v>212</v>
      </c>
      <c r="K209" s="17" t="s">
        <v>114</v>
      </c>
      <c r="L209" s="37"/>
      <c r="M209" s="18"/>
      <c r="N209" s="18"/>
      <c r="O209" s="18"/>
      <c r="P209" s="18"/>
      <c r="Q209" s="19"/>
      <c r="R209" s="21"/>
      <c r="S209" s="21"/>
      <c r="T209" s="19"/>
      <c r="U209" s="19"/>
      <c r="V209" s="19"/>
      <c r="W209" s="19"/>
      <c r="X209" s="19"/>
      <c r="Y209" s="19"/>
      <c r="Z209" s="19"/>
      <c r="AA209" s="19"/>
      <c r="AB209" s="19"/>
      <c r="AC209" s="19"/>
      <c r="AD209" s="19"/>
      <c r="AE209" s="19"/>
      <c r="AF209" s="19"/>
      <c r="AG209" s="19"/>
      <c r="AH209" s="19"/>
      <c r="AI209" s="19"/>
      <c r="AJ209" s="19"/>
      <c r="AK209" s="19"/>
    </row>
    <row r="210" hidden="1">
      <c r="A210" s="50" t="s">
        <v>894</v>
      </c>
      <c r="B210" s="26" t="str">
        <f>TRIM(MID(A210, SEARCH("- ", A210) + 2, LEN(A210)))
</f>
        <v>PLANIFICACIÓN DE RIESGOS PARA IMPORTACIÓN Y EXPORTACIÓN</v>
      </c>
      <c r="C210" s="13" t="s">
        <v>77</v>
      </c>
      <c r="D210" s="13"/>
      <c r="E210" s="13" t="s">
        <v>63</v>
      </c>
      <c r="F210" s="13" t="s">
        <v>77</v>
      </c>
      <c r="G210" s="34" t="s">
        <v>896</v>
      </c>
      <c r="H210" s="15" t="str">
        <f t="shared" si="5"/>
        <v>https://youtube.com/embed/YazKLBF-B6c</v>
      </c>
      <c r="I210" s="15" t="s">
        <v>897</v>
      </c>
      <c r="J210" s="17" t="s">
        <v>170</v>
      </c>
      <c r="K210" s="17" t="s">
        <v>114</v>
      </c>
      <c r="L210" s="56" t="str">
        <f>"COMIENZA DICIENDO QUE ES EL RESUMEN DEL CURSO " &amp; B210 &amp; " DE EDUMIN, LUEGO HAZ EL RESUMEN Y FINALIZA INVITANDO A VER EL RESTO DE RECURSOS DE LAS ZONAS DE EDUMIN."</f>
        <v>COMIENZA DICIENDO QUE ES EL RESUMEN DEL CURSO PLANIFICACIÓN DE RIESGOS PARA IMPORTACIÓN Y EXPORTACIÓN DE EDUMIN, LUEGO HAZ EL RESUMEN Y FINALIZA INVITANDO A VER EL RESTO DE RECURSOS DE LAS ZONAS DE EDUMIN.</v>
      </c>
      <c r="M210" s="18" t="s">
        <v>870</v>
      </c>
      <c r="N210" s="18" t="s">
        <v>871</v>
      </c>
      <c r="O210" s="18" t="s">
        <v>872</v>
      </c>
      <c r="P210" s="18">
        <v>30.0</v>
      </c>
      <c r="Q210" s="19"/>
      <c r="R210" s="21" t="s">
        <v>122</v>
      </c>
      <c r="S210" s="21" t="s">
        <v>124</v>
      </c>
      <c r="T210" s="19"/>
      <c r="U210" s="19"/>
      <c r="V210" s="19"/>
      <c r="W210" s="19"/>
      <c r="X210" s="19"/>
      <c r="Y210" s="19"/>
      <c r="Z210" s="19"/>
      <c r="AA210" s="19"/>
      <c r="AB210" s="19"/>
      <c r="AC210" s="19"/>
      <c r="AD210" s="19"/>
      <c r="AE210" s="19"/>
      <c r="AF210" s="19"/>
      <c r="AG210" s="19"/>
      <c r="AH210" s="19"/>
      <c r="AI210" s="19"/>
      <c r="AJ210" s="19"/>
      <c r="AK210" s="19"/>
    </row>
    <row r="211" hidden="1">
      <c r="A211" s="23"/>
      <c r="B211" s="23"/>
      <c r="C211" s="23"/>
      <c r="D211" s="23"/>
      <c r="E211" s="23"/>
      <c r="F211" s="23"/>
      <c r="G211" s="34" t="s">
        <v>899</v>
      </c>
      <c r="H211" s="15" t="str">
        <f t="shared" si="5"/>
        <v>https://youtube.com/embed/kEV7rBs1oSw</v>
      </c>
      <c r="I211" s="15" t="s">
        <v>901</v>
      </c>
      <c r="J211" s="17" t="s">
        <v>185</v>
      </c>
      <c r="K211" s="17" t="s">
        <v>114</v>
      </c>
      <c r="L211" s="37"/>
      <c r="M211" s="18"/>
      <c r="N211" s="18"/>
      <c r="O211" s="18"/>
      <c r="P211" s="18"/>
      <c r="Q211" s="19"/>
      <c r="R211" s="21"/>
      <c r="S211" s="21"/>
      <c r="T211" s="19"/>
      <c r="U211" s="19"/>
      <c r="V211" s="19"/>
      <c r="W211" s="19"/>
      <c r="X211" s="19"/>
      <c r="Y211" s="19"/>
      <c r="Z211" s="19"/>
      <c r="AA211" s="19"/>
      <c r="AB211" s="19"/>
      <c r="AC211" s="19"/>
      <c r="AD211" s="19"/>
      <c r="AE211" s="19"/>
      <c r="AF211" s="19"/>
      <c r="AG211" s="19"/>
      <c r="AH211" s="19"/>
      <c r="AI211" s="19"/>
      <c r="AJ211" s="19"/>
      <c r="AK211" s="19"/>
    </row>
    <row r="212" hidden="1">
      <c r="A212" s="23"/>
      <c r="B212" s="23"/>
      <c r="C212" s="23"/>
      <c r="D212" s="23"/>
      <c r="E212" s="23"/>
      <c r="F212" s="23"/>
      <c r="G212" s="34" t="s">
        <v>902</v>
      </c>
      <c r="H212" s="15" t="str">
        <f t="shared" si="5"/>
        <v>https://youtube.com/embed/5d8QoNhWdcE</v>
      </c>
      <c r="I212" s="15" t="s">
        <v>903</v>
      </c>
      <c r="J212" s="17" t="s">
        <v>192</v>
      </c>
      <c r="K212" s="17" t="s">
        <v>114</v>
      </c>
      <c r="L212" s="37"/>
      <c r="M212" s="18"/>
      <c r="N212" s="18"/>
      <c r="O212" s="18"/>
      <c r="P212" s="18"/>
      <c r="Q212" s="19"/>
      <c r="R212" s="21"/>
      <c r="S212" s="21"/>
      <c r="T212" s="19"/>
      <c r="U212" s="19"/>
      <c r="V212" s="19"/>
      <c r="W212" s="19"/>
      <c r="X212" s="19"/>
      <c r="Y212" s="19"/>
      <c r="Z212" s="19"/>
      <c r="AA212" s="19"/>
      <c r="AB212" s="19"/>
      <c r="AC212" s="19"/>
      <c r="AD212" s="19"/>
      <c r="AE212" s="19"/>
      <c r="AF212" s="19"/>
      <c r="AG212" s="19"/>
      <c r="AH212" s="19"/>
      <c r="AI212" s="19"/>
      <c r="AJ212" s="19"/>
      <c r="AK212" s="19"/>
    </row>
    <row r="213" hidden="1">
      <c r="A213" s="27"/>
      <c r="B213" s="27"/>
      <c r="C213" s="27"/>
      <c r="D213" s="27"/>
      <c r="E213" s="27"/>
      <c r="F213" s="27"/>
      <c r="G213" s="34" t="s">
        <v>905</v>
      </c>
      <c r="H213" s="15" t="str">
        <f t="shared" si="5"/>
        <v>https://youtube.com/embed/WTVLLcJ_EmY</v>
      </c>
      <c r="I213" s="15" t="s">
        <v>906</v>
      </c>
      <c r="J213" s="17" t="s">
        <v>212</v>
      </c>
      <c r="K213" s="17" t="s">
        <v>114</v>
      </c>
      <c r="L213" s="37"/>
      <c r="M213" s="18"/>
      <c r="N213" s="18"/>
      <c r="O213" s="18"/>
      <c r="P213" s="18"/>
      <c r="Q213" s="19"/>
      <c r="R213" s="21"/>
      <c r="S213" s="21"/>
      <c r="T213" s="19"/>
      <c r="U213" s="19"/>
      <c r="V213" s="19"/>
      <c r="W213" s="19"/>
      <c r="X213" s="19"/>
      <c r="Y213" s="19"/>
      <c r="Z213" s="19"/>
      <c r="AA213" s="19"/>
      <c r="AB213" s="19"/>
      <c r="AC213" s="19"/>
      <c r="AD213" s="19"/>
      <c r="AE213" s="19"/>
      <c r="AF213" s="19"/>
      <c r="AG213" s="19"/>
      <c r="AH213" s="19"/>
      <c r="AI213" s="19"/>
      <c r="AJ213" s="19"/>
      <c r="AK213" s="19"/>
    </row>
    <row r="214" hidden="1">
      <c r="A214" s="66" t="s">
        <v>908</v>
      </c>
      <c r="B214" s="26" t="str">
        <f>TRIM(MID(A214, SEARCH("- ", A214) + 2, LEN(A214)))
</f>
        <v>CONTROL DE CALIDAD EN PROCESOS MINEROS</v>
      </c>
      <c r="C214" s="13" t="s">
        <v>77</v>
      </c>
      <c r="D214" s="13" t="s">
        <v>77</v>
      </c>
      <c r="E214" s="70" t="s">
        <v>57</v>
      </c>
      <c r="F214" s="13" t="s">
        <v>77</v>
      </c>
      <c r="G214" s="34" t="s">
        <v>910</v>
      </c>
      <c r="H214" s="15" t="str">
        <f t="shared" si="5"/>
        <v>https://youtube.com/embed/8HNkh1_ur08</v>
      </c>
      <c r="I214" s="15" t="s">
        <v>911</v>
      </c>
      <c r="J214" s="17" t="str">
        <f>IFERROR(__xludf.DUMMYFUNCTION("CONCATENATE(""CLASE 0"",REGEXEXTRACT(G214,""[\d]+""))"),"CLASE 01")</f>
        <v>CLASE 01</v>
      </c>
      <c r="K214" s="17" t="s">
        <v>510</v>
      </c>
      <c r="L214" s="65" t="s">
        <v>510</v>
      </c>
      <c r="M214" s="18" t="s">
        <v>912</v>
      </c>
      <c r="N214" s="18" t="s">
        <v>913</v>
      </c>
      <c r="O214" s="18" t="s">
        <v>871</v>
      </c>
      <c r="P214" s="18">
        <v>30.0</v>
      </c>
      <c r="Q214" s="19"/>
      <c r="R214" s="21" t="s">
        <v>122</v>
      </c>
      <c r="S214" s="21" t="s">
        <v>124</v>
      </c>
      <c r="T214" s="19"/>
      <c r="U214" s="19"/>
      <c r="V214" s="19"/>
      <c r="W214" s="19"/>
      <c r="X214" s="19"/>
      <c r="Y214" s="19"/>
      <c r="Z214" s="19"/>
      <c r="AA214" s="19"/>
      <c r="AB214" s="19"/>
      <c r="AC214" s="19"/>
      <c r="AD214" s="19"/>
      <c r="AE214" s="19"/>
      <c r="AF214" s="19"/>
      <c r="AG214" s="19"/>
      <c r="AH214" s="19"/>
      <c r="AI214" s="19"/>
      <c r="AJ214" s="19"/>
      <c r="AK214" s="19"/>
    </row>
    <row r="215" hidden="1">
      <c r="A215" s="66"/>
      <c r="B215" s="23"/>
      <c r="C215" s="23"/>
      <c r="D215" s="23"/>
      <c r="E215" s="23"/>
      <c r="F215" s="23"/>
      <c r="G215" s="34" t="s">
        <v>915</v>
      </c>
      <c r="H215" s="15" t="str">
        <f t="shared" si="5"/>
        <v>https://youtube.com/embed/g8BtcRFryq4</v>
      </c>
      <c r="I215" s="15" t="s">
        <v>916</v>
      </c>
      <c r="J215" s="17" t="str">
        <f>IFERROR(__xludf.DUMMYFUNCTION("CONCATENATE(""CLASE 0"",REGEXEXTRACT(G215,""[\d]+""))"),"CLASE 02")</f>
        <v>CLASE 02</v>
      </c>
      <c r="K215" s="17" t="s">
        <v>510</v>
      </c>
      <c r="L215" s="23"/>
      <c r="M215" s="18"/>
      <c r="N215" s="18"/>
      <c r="O215" s="18"/>
      <c r="P215" s="18"/>
      <c r="Q215" s="19"/>
      <c r="R215" s="21"/>
      <c r="S215" s="21"/>
      <c r="T215" s="19"/>
      <c r="U215" s="19"/>
      <c r="V215" s="19"/>
      <c r="W215" s="19"/>
      <c r="X215" s="19"/>
      <c r="Y215" s="19"/>
      <c r="Z215" s="19"/>
      <c r="AA215" s="19"/>
      <c r="AB215" s="19"/>
      <c r="AC215" s="19"/>
      <c r="AD215" s="19"/>
      <c r="AE215" s="19"/>
      <c r="AF215" s="19"/>
      <c r="AG215" s="19"/>
      <c r="AH215" s="19"/>
      <c r="AI215" s="19"/>
      <c r="AJ215" s="19"/>
      <c r="AK215" s="19"/>
    </row>
    <row r="216" hidden="1">
      <c r="A216" s="66"/>
      <c r="B216" s="23"/>
      <c r="C216" s="23"/>
      <c r="D216" s="23"/>
      <c r="E216" s="23"/>
      <c r="F216" s="23"/>
      <c r="G216" s="34" t="s">
        <v>917</v>
      </c>
      <c r="H216" s="15" t="str">
        <f t="shared" si="5"/>
        <v>https://youtube.com/embed/N2dw5g-MX6U</v>
      </c>
      <c r="I216" s="15" t="s">
        <v>918</v>
      </c>
      <c r="J216" s="17" t="str">
        <f>IFERROR(__xludf.DUMMYFUNCTION("CONCATENATE(""CLASE 0"",REGEXEXTRACT(G216,""[\d]+""))"),"CLASE 03")</f>
        <v>CLASE 03</v>
      </c>
      <c r="K216" s="17" t="s">
        <v>510</v>
      </c>
      <c r="L216" s="23"/>
      <c r="M216" s="18"/>
      <c r="N216" s="18"/>
      <c r="O216" s="18"/>
      <c r="P216" s="18"/>
      <c r="Q216" s="19"/>
      <c r="R216" s="21"/>
      <c r="S216" s="21"/>
      <c r="T216" s="19"/>
      <c r="U216" s="19"/>
      <c r="V216" s="19"/>
      <c r="W216" s="19"/>
      <c r="X216" s="19"/>
      <c r="Y216" s="19"/>
      <c r="Z216" s="19"/>
      <c r="AA216" s="19"/>
      <c r="AB216" s="19"/>
      <c r="AC216" s="19"/>
      <c r="AD216" s="19"/>
      <c r="AE216" s="19"/>
      <c r="AF216" s="19"/>
      <c r="AG216" s="19"/>
      <c r="AH216" s="19"/>
      <c r="AI216" s="19"/>
      <c r="AJ216" s="19"/>
      <c r="AK216" s="19"/>
    </row>
    <row r="217" hidden="1">
      <c r="A217" s="66"/>
      <c r="B217" s="27"/>
      <c r="C217" s="27"/>
      <c r="D217" s="27"/>
      <c r="E217" s="27"/>
      <c r="F217" s="27"/>
      <c r="G217" s="34" t="s">
        <v>920</v>
      </c>
      <c r="H217" s="15" t="str">
        <f t="shared" si="5"/>
        <v>https://youtube.com/embed/64mH22Iho8g</v>
      </c>
      <c r="I217" s="15" t="s">
        <v>921</v>
      </c>
      <c r="J217" s="17" t="str">
        <f>IFERROR(__xludf.DUMMYFUNCTION("CONCATENATE(""CLASE 0"",REGEXEXTRACT(G217,""[\d]+""))"),"CLASE 04")</f>
        <v>CLASE 04</v>
      </c>
      <c r="K217" s="17" t="s">
        <v>510</v>
      </c>
      <c r="L217" s="27"/>
      <c r="M217" s="18"/>
      <c r="N217" s="18"/>
      <c r="O217" s="18"/>
      <c r="P217" s="18"/>
      <c r="Q217" s="19"/>
      <c r="R217" s="21"/>
      <c r="S217" s="21"/>
      <c r="T217" s="19"/>
      <c r="U217" s="19"/>
      <c r="V217" s="19"/>
      <c r="W217" s="19"/>
      <c r="X217" s="19"/>
      <c r="Y217" s="19"/>
      <c r="Z217" s="19"/>
      <c r="AA217" s="19"/>
      <c r="AB217" s="19"/>
      <c r="AC217" s="19"/>
      <c r="AD217" s="19"/>
      <c r="AE217" s="19"/>
      <c r="AF217" s="19"/>
      <c r="AG217" s="19"/>
      <c r="AH217" s="19"/>
      <c r="AI217" s="19"/>
      <c r="AJ217" s="19"/>
      <c r="AK217" s="19"/>
    </row>
    <row r="218" hidden="1">
      <c r="A218" s="66" t="s">
        <v>923</v>
      </c>
      <c r="B218" s="26" t="str">
        <f>TRIM(MID(A218, SEARCH("- ", A218) + 2, LEN(A218)))
</f>
        <v>MONITOREO Y CONTROL EN LA OPERACIÓN DE PLANTAS MINERAS</v>
      </c>
      <c r="C218" s="13" t="s">
        <v>77</v>
      </c>
      <c r="D218" s="13" t="s">
        <v>77</v>
      </c>
      <c r="E218" s="70" t="s">
        <v>57</v>
      </c>
      <c r="F218" s="13" t="s">
        <v>77</v>
      </c>
      <c r="G218" s="34" t="s">
        <v>925</v>
      </c>
      <c r="H218" s="15" t="str">
        <f t="shared" si="5"/>
        <v>https://youtube.com/embed/2cqmD4ObYew</v>
      </c>
      <c r="I218" s="15" t="s">
        <v>927</v>
      </c>
      <c r="J218" s="17" t="str">
        <f>IFERROR(__xludf.DUMMYFUNCTION("CONCATENATE(""CLASE 0"",REGEXEXTRACT(G218,""[\d]+""))"),"CLASE 01")</f>
        <v>CLASE 01</v>
      </c>
      <c r="K218" s="17" t="s">
        <v>263</v>
      </c>
      <c r="L218" s="65" t="s">
        <v>510</v>
      </c>
      <c r="M218" s="18" t="s">
        <v>870</v>
      </c>
      <c r="N218" s="18" t="s">
        <v>871</v>
      </c>
      <c r="O218" s="18" t="s">
        <v>872</v>
      </c>
      <c r="P218" s="18">
        <v>30.0</v>
      </c>
      <c r="Q218" s="19"/>
      <c r="R218" s="21" t="s">
        <v>122</v>
      </c>
      <c r="S218" s="21" t="s">
        <v>124</v>
      </c>
      <c r="T218" s="19"/>
      <c r="U218" s="19"/>
      <c r="V218" s="19"/>
      <c r="W218" s="19"/>
      <c r="X218" s="19"/>
      <c r="Y218" s="19"/>
      <c r="Z218" s="19"/>
      <c r="AA218" s="19"/>
      <c r="AB218" s="19"/>
      <c r="AC218" s="19"/>
      <c r="AD218" s="19"/>
      <c r="AE218" s="19"/>
      <c r="AF218" s="19"/>
      <c r="AG218" s="19"/>
      <c r="AH218" s="19"/>
      <c r="AI218" s="19"/>
      <c r="AJ218" s="19"/>
      <c r="AK218" s="19"/>
    </row>
    <row r="219" hidden="1">
      <c r="A219" s="66"/>
      <c r="B219" s="23"/>
      <c r="C219" s="23"/>
      <c r="D219" s="23"/>
      <c r="E219" s="23"/>
      <c r="F219" s="23"/>
      <c r="G219" s="34" t="s">
        <v>928</v>
      </c>
      <c r="H219" s="15" t="str">
        <f t="shared" si="5"/>
        <v>https://youtube.com/embed/zvauzjKvnM0</v>
      </c>
      <c r="I219" s="15" t="s">
        <v>929</v>
      </c>
      <c r="J219" s="17" t="str">
        <f>IFERROR(__xludf.DUMMYFUNCTION("CONCATENATE(""CLASE 0"",REGEXEXTRACT(G219,""[\d]+""))"),"CLASE 02")</f>
        <v>CLASE 02</v>
      </c>
      <c r="K219" s="17" t="s">
        <v>263</v>
      </c>
      <c r="L219" s="23"/>
      <c r="M219" s="18"/>
      <c r="N219" s="18"/>
      <c r="O219" s="18"/>
      <c r="P219" s="18"/>
      <c r="Q219" s="19"/>
      <c r="R219" s="21"/>
      <c r="S219" s="21"/>
      <c r="T219" s="19"/>
      <c r="U219" s="19"/>
      <c r="V219" s="19"/>
      <c r="W219" s="19"/>
      <c r="X219" s="19"/>
      <c r="Y219" s="19"/>
      <c r="Z219" s="19"/>
      <c r="AA219" s="19"/>
      <c r="AB219" s="19"/>
      <c r="AC219" s="19"/>
      <c r="AD219" s="19"/>
      <c r="AE219" s="19"/>
      <c r="AF219" s="19"/>
      <c r="AG219" s="19"/>
      <c r="AH219" s="19"/>
      <c r="AI219" s="19"/>
      <c r="AJ219" s="19"/>
      <c r="AK219" s="19"/>
    </row>
    <row r="220" hidden="1">
      <c r="A220" s="66"/>
      <c r="B220" s="23"/>
      <c r="C220" s="23"/>
      <c r="D220" s="23"/>
      <c r="E220" s="23"/>
      <c r="F220" s="23"/>
      <c r="G220" s="34" t="s">
        <v>931</v>
      </c>
      <c r="H220" s="15" t="str">
        <f t="shared" si="5"/>
        <v>https://youtube.com/embed/ngxMXNY73Fg</v>
      </c>
      <c r="I220" s="15" t="s">
        <v>932</v>
      </c>
      <c r="J220" s="17" t="str">
        <f>IFERROR(__xludf.DUMMYFUNCTION("CONCATENATE(""CLASE 0"",REGEXEXTRACT(G220,""[\d]+""))"),"CLASE 03")</f>
        <v>CLASE 03</v>
      </c>
      <c r="K220" s="17" t="s">
        <v>263</v>
      </c>
      <c r="L220" s="23"/>
      <c r="M220" s="18"/>
      <c r="N220" s="18"/>
      <c r="O220" s="18"/>
      <c r="P220" s="18"/>
      <c r="Q220" s="19"/>
      <c r="R220" s="21"/>
      <c r="S220" s="21"/>
      <c r="T220" s="19"/>
      <c r="U220" s="19"/>
      <c r="V220" s="19"/>
      <c r="W220" s="19"/>
      <c r="X220" s="19"/>
      <c r="Y220" s="19"/>
      <c r="Z220" s="19"/>
      <c r="AA220" s="19"/>
      <c r="AB220" s="19"/>
      <c r="AC220" s="19"/>
      <c r="AD220" s="19"/>
      <c r="AE220" s="19"/>
      <c r="AF220" s="19"/>
      <c r="AG220" s="19"/>
      <c r="AH220" s="19"/>
      <c r="AI220" s="19"/>
      <c r="AJ220" s="19"/>
      <c r="AK220" s="19"/>
    </row>
    <row r="221" hidden="1">
      <c r="A221" s="66"/>
      <c r="B221" s="27"/>
      <c r="C221" s="27"/>
      <c r="D221" s="27"/>
      <c r="E221" s="27"/>
      <c r="F221" s="27"/>
      <c r="G221" s="34" t="s">
        <v>934</v>
      </c>
      <c r="H221" s="15" t="str">
        <f t="shared" si="5"/>
        <v>https://youtube.com/embed/i-TMOsQDNig</v>
      </c>
      <c r="I221" s="15" t="s">
        <v>935</v>
      </c>
      <c r="J221" s="17" t="str">
        <f>IFERROR(__xludf.DUMMYFUNCTION("CONCATENATE(""CLASE 0"",REGEXEXTRACT(G221,""[\d]+""))"),"CLASE 04")</f>
        <v>CLASE 04</v>
      </c>
      <c r="K221" s="17" t="s">
        <v>263</v>
      </c>
      <c r="L221" s="27"/>
      <c r="M221" s="18"/>
      <c r="N221" s="18"/>
      <c r="O221" s="18"/>
      <c r="P221" s="18"/>
      <c r="Q221" s="19"/>
      <c r="R221" s="21"/>
      <c r="S221" s="21"/>
      <c r="T221" s="19"/>
      <c r="U221" s="19"/>
      <c r="V221" s="19"/>
      <c r="W221" s="19"/>
      <c r="X221" s="19"/>
      <c r="Y221" s="19"/>
      <c r="Z221" s="19"/>
      <c r="AA221" s="19"/>
      <c r="AB221" s="19"/>
      <c r="AC221" s="19"/>
      <c r="AD221" s="19"/>
      <c r="AE221" s="19"/>
      <c r="AF221" s="19"/>
      <c r="AG221" s="19"/>
      <c r="AH221" s="19"/>
      <c r="AI221" s="19"/>
      <c r="AJ221" s="19"/>
      <c r="AK221" s="19"/>
    </row>
    <row r="222">
      <c r="A222" s="66" t="s">
        <v>936</v>
      </c>
      <c r="B222" s="26" t="str">
        <f>TRIM(MID(A222, SEARCH("- ", A222) + 2, LEN(A222)))
</f>
        <v>SOSTENIBILIDAD Y SEGURIDAD EN CAMPAMENTOS MINEROS</v>
      </c>
      <c r="C222" s="13" t="s">
        <v>77</v>
      </c>
      <c r="D222" s="13" t="s">
        <v>77</v>
      </c>
      <c r="E222" s="13" t="s">
        <v>60</v>
      </c>
      <c r="F222" s="13" t="s">
        <v>77</v>
      </c>
      <c r="G222" s="34" t="s">
        <v>938</v>
      </c>
      <c r="H222" s="15" t="str">
        <f t="shared" si="5"/>
        <v>https://youtube.com/embed/7WXIJEUEC3U</v>
      </c>
      <c r="I222" s="15" t="s">
        <v>939</v>
      </c>
      <c r="J222" s="30" t="str">
        <f>"COMIENZA DICIENDO QUE ES EL RESUMEN DEL CURSO " &amp; B222 &amp; " DE EDUMIN, LUEGO HAZ EL RESUMEN Y FINALIZA INVITANDO A VER EL RESTO DE RECURSOS DE LAS ZONAS DE EDUMIN."</f>
        <v>COMIENZA DICIENDO QUE ES EL RESUMEN DEL CURSO SOSTENIBILIDAD Y SEGURIDAD EN CAMPAMENTOS MINEROS DE EDUMIN, LUEGO HAZ EL RESUMEN Y FINALIZA INVITANDO A VER EL RESTO DE RECURSOS DE LAS ZONAS DE EDUMIN.</v>
      </c>
      <c r="K222" s="17" t="s">
        <v>114</v>
      </c>
      <c r="L222" s="18"/>
      <c r="M222" s="18" t="s">
        <v>870</v>
      </c>
      <c r="N222" s="18" t="s">
        <v>871</v>
      </c>
      <c r="O222" s="18" t="s">
        <v>872</v>
      </c>
      <c r="P222" s="18">
        <v>30.0</v>
      </c>
      <c r="Q222" s="19"/>
      <c r="R222" s="21" t="s">
        <v>122</v>
      </c>
      <c r="S222" s="21" t="s">
        <v>124</v>
      </c>
      <c r="T222" s="19"/>
      <c r="U222" s="19"/>
      <c r="V222" s="19"/>
      <c r="W222" s="19"/>
      <c r="X222" s="19"/>
      <c r="Y222" s="19"/>
      <c r="Z222" s="19"/>
      <c r="AA222" s="19"/>
      <c r="AB222" s="19"/>
      <c r="AC222" s="19"/>
      <c r="AD222" s="19"/>
      <c r="AE222" s="19"/>
      <c r="AF222" s="19"/>
      <c r="AG222" s="19"/>
      <c r="AH222" s="19"/>
      <c r="AI222" s="19"/>
      <c r="AJ222" s="19"/>
      <c r="AK222" s="19"/>
    </row>
    <row r="223">
      <c r="A223" s="66"/>
      <c r="B223" s="23"/>
      <c r="C223" s="23"/>
      <c r="D223" s="23"/>
      <c r="E223" s="23"/>
      <c r="F223" s="23"/>
      <c r="G223" s="34" t="s">
        <v>941</v>
      </c>
      <c r="H223" s="15" t="str">
        <f t="shared" si="5"/>
        <v>https://youtube.com/embed/7Wy6YLIRQ8c</v>
      </c>
      <c r="I223" s="15" t="s">
        <v>943</v>
      </c>
      <c r="J223" s="37"/>
      <c r="K223" s="17" t="s">
        <v>114</v>
      </c>
      <c r="L223" s="18"/>
      <c r="M223" s="18"/>
      <c r="N223" s="18"/>
      <c r="O223" s="18"/>
      <c r="P223" s="18"/>
      <c r="Q223" s="19"/>
      <c r="R223" s="21"/>
      <c r="S223" s="21"/>
      <c r="T223" s="19"/>
      <c r="U223" s="19"/>
      <c r="V223" s="19"/>
      <c r="W223" s="19"/>
      <c r="X223" s="19"/>
      <c r="Y223" s="19"/>
      <c r="Z223" s="19"/>
      <c r="AA223" s="19"/>
      <c r="AB223" s="19"/>
      <c r="AC223" s="19"/>
      <c r="AD223" s="19"/>
      <c r="AE223" s="19"/>
      <c r="AF223" s="19"/>
      <c r="AG223" s="19"/>
      <c r="AH223" s="19"/>
      <c r="AI223" s="19"/>
      <c r="AJ223" s="19"/>
      <c r="AK223" s="19"/>
    </row>
    <row r="224">
      <c r="A224" s="66"/>
      <c r="B224" s="23"/>
      <c r="C224" s="23"/>
      <c r="D224" s="23"/>
      <c r="E224" s="23"/>
      <c r="F224" s="23"/>
      <c r="G224" s="34" t="s">
        <v>945</v>
      </c>
      <c r="H224" s="15" t="str">
        <f t="shared" si="5"/>
        <v>https://youtube.com/embed/O-VgnyDJBJ8</v>
      </c>
      <c r="I224" s="15" t="s">
        <v>946</v>
      </c>
      <c r="J224" s="37"/>
      <c r="K224" s="17" t="s">
        <v>114</v>
      </c>
      <c r="L224" s="18"/>
      <c r="M224" s="18"/>
      <c r="N224" s="18"/>
      <c r="O224" s="18"/>
      <c r="P224" s="18"/>
      <c r="Q224" s="19"/>
      <c r="R224" s="21"/>
      <c r="S224" s="21"/>
      <c r="T224" s="19"/>
      <c r="U224" s="19"/>
      <c r="V224" s="19"/>
      <c r="W224" s="19"/>
      <c r="X224" s="19"/>
      <c r="Y224" s="19"/>
      <c r="Z224" s="19"/>
      <c r="AA224" s="19"/>
      <c r="AB224" s="19"/>
      <c r="AC224" s="19"/>
      <c r="AD224" s="19"/>
      <c r="AE224" s="19"/>
      <c r="AF224" s="19"/>
      <c r="AG224" s="19"/>
      <c r="AH224" s="19"/>
      <c r="AI224" s="19"/>
      <c r="AJ224" s="19"/>
      <c r="AK224" s="19"/>
    </row>
    <row r="225">
      <c r="A225" s="66"/>
      <c r="B225" s="27"/>
      <c r="C225" s="27"/>
      <c r="D225" s="27"/>
      <c r="E225" s="27"/>
      <c r="F225" s="27"/>
      <c r="G225" s="34" t="s">
        <v>948</v>
      </c>
      <c r="H225" s="15" t="str">
        <f t="shared" si="5"/>
        <v>https://youtube.com/embed/DeNxp3Nt0Nw</v>
      </c>
      <c r="I225" s="15" t="s">
        <v>949</v>
      </c>
      <c r="J225" s="37"/>
      <c r="K225" s="17" t="s">
        <v>114</v>
      </c>
      <c r="L225" s="18"/>
      <c r="M225" s="18"/>
      <c r="N225" s="18"/>
      <c r="O225" s="18"/>
      <c r="P225" s="18"/>
      <c r="Q225" s="19"/>
      <c r="R225" s="21"/>
      <c r="S225" s="21"/>
      <c r="T225" s="19"/>
      <c r="U225" s="19"/>
      <c r="V225" s="19"/>
      <c r="W225" s="19"/>
      <c r="X225" s="19"/>
      <c r="Y225" s="19"/>
      <c r="Z225" s="19"/>
      <c r="AA225" s="19"/>
      <c r="AB225" s="19"/>
      <c r="AC225" s="19"/>
      <c r="AD225" s="19"/>
      <c r="AE225" s="19"/>
      <c r="AF225" s="19"/>
      <c r="AG225" s="19"/>
      <c r="AH225" s="19"/>
      <c r="AI225" s="19"/>
      <c r="AJ225" s="19"/>
      <c r="AK225" s="19"/>
    </row>
    <row r="226" hidden="1">
      <c r="A226" s="66" t="s">
        <v>950</v>
      </c>
      <c r="B226" s="26" t="str">
        <f>TRIM(MID(A226, SEARCH("- ", A226) + 2, LEN(A226)))
</f>
        <v>ANÁLISIS DE DATOS PARA OPTIMIZAR OPERACIONES MINERAS</v>
      </c>
      <c r="C226" s="13" t="s">
        <v>77</v>
      </c>
      <c r="D226" s="13" t="s">
        <v>77</v>
      </c>
      <c r="E226" s="70" t="s">
        <v>57</v>
      </c>
      <c r="F226" s="13" t="s">
        <v>77</v>
      </c>
      <c r="G226" s="34" t="s">
        <v>952</v>
      </c>
      <c r="H226" s="15" t="str">
        <f t="shared" si="5"/>
        <v>https://youtube.com/embed/yy7UNc6yy4A</v>
      </c>
      <c r="I226" s="15" t="s">
        <v>953</v>
      </c>
      <c r="J226" s="17" t="str">
        <f>IFERROR(__xludf.DUMMYFUNCTION("CONCATENATE(""CLASE 0"",REGEXEXTRACT(G226,""[\d]+""))"),"CLASE 01")</f>
        <v>CLASE 01</v>
      </c>
      <c r="K226" s="17" t="s">
        <v>263</v>
      </c>
      <c r="L226" s="65" t="s">
        <v>510</v>
      </c>
      <c r="M226" s="18" t="s">
        <v>870</v>
      </c>
      <c r="N226" s="18" t="s">
        <v>871</v>
      </c>
      <c r="O226" s="18" t="s">
        <v>872</v>
      </c>
      <c r="P226" s="18">
        <v>30.0</v>
      </c>
      <c r="Q226" s="19"/>
      <c r="R226" s="21" t="s">
        <v>122</v>
      </c>
      <c r="S226" s="21" t="s">
        <v>124</v>
      </c>
      <c r="T226" s="19"/>
      <c r="U226" s="19"/>
      <c r="V226" s="19"/>
      <c r="W226" s="19"/>
      <c r="X226" s="19"/>
      <c r="Y226" s="19"/>
      <c r="Z226" s="19"/>
      <c r="AA226" s="19"/>
      <c r="AB226" s="19"/>
      <c r="AC226" s="19"/>
      <c r="AD226" s="19"/>
      <c r="AE226" s="19"/>
      <c r="AF226" s="19"/>
      <c r="AG226" s="19"/>
      <c r="AH226" s="19"/>
      <c r="AI226" s="19"/>
      <c r="AJ226" s="19"/>
      <c r="AK226" s="19"/>
    </row>
    <row r="227" hidden="1">
      <c r="A227" s="66"/>
      <c r="B227" s="23"/>
      <c r="C227" s="23"/>
      <c r="D227" s="23"/>
      <c r="E227" s="23"/>
      <c r="F227" s="23"/>
      <c r="G227" s="34" t="s">
        <v>954</v>
      </c>
      <c r="H227" s="15" t="str">
        <f t="shared" si="5"/>
        <v>https://youtube.com/embed/gG5HUxZTPEw</v>
      </c>
      <c r="I227" s="15" t="s">
        <v>955</v>
      </c>
      <c r="J227" s="17" t="str">
        <f>IFERROR(__xludf.DUMMYFUNCTION("CONCATENATE(""CLASE 0"",REGEXEXTRACT(G227,""[\d]+""))"),"CLASE 02")</f>
        <v>CLASE 02</v>
      </c>
      <c r="K227" s="17" t="s">
        <v>263</v>
      </c>
      <c r="L227" s="23"/>
      <c r="M227" s="18"/>
      <c r="N227" s="18"/>
      <c r="O227" s="18"/>
      <c r="P227" s="18"/>
      <c r="Q227" s="19"/>
      <c r="R227" s="21"/>
      <c r="S227" s="21"/>
      <c r="T227" s="19"/>
      <c r="U227" s="19"/>
      <c r="V227" s="19"/>
      <c r="W227" s="19"/>
      <c r="X227" s="19"/>
      <c r="Y227" s="19"/>
      <c r="Z227" s="19"/>
      <c r="AA227" s="19"/>
      <c r="AB227" s="19"/>
      <c r="AC227" s="19"/>
      <c r="AD227" s="19"/>
      <c r="AE227" s="19"/>
      <c r="AF227" s="19"/>
      <c r="AG227" s="19"/>
      <c r="AH227" s="19"/>
      <c r="AI227" s="19"/>
      <c r="AJ227" s="19"/>
      <c r="AK227" s="19"/>
    </row>
    <row r="228" hidden="1">
      <c r="A228" s="66"/>
      <c r="B228" s="23"/>
      <c r="C228" s="23"/>
      <c r="D228" s="23"/>
      <c r="E228" s="23"/>
      <c r="F228" s="23"/>
      <c r="G228" s="34" t="s">
        <v>957</v>
      </c>
      <c r="H228" s="15" t="str">
        <f t="shared" si="5"/>
        <v>https://youtube.com/embed/N4eLEss4Aao</v>
      </c>
      <c r="I228" s="15" t="s">
        <v>958</v>
      </c>
      <c r="J228" s="17" t="str">
        <f>IFERROR(__xludf.DUMMYFUNCTION("CONCATENATE(""CLASE 0"",REGEXEXTRACT(G228,""[\d]+""))"),"CLASE 03")</f>
        <v>CLASE 03</v>
      </c>
      <c r="K228" s="17" t="s">
        <v>263</v>
      </c>
      <c r="L228" s="23"/>
      <c r="M228" s="18"/>
      <c r="N228" s="18"/>
      <c r="O228" s="18"/>
      <c r="P228" s="18"/>
      <c r="Q228" s="19"/>
      <c r="R228" s="21"/>
      <c r="S228" s="21"/>
      <c r="T228" s="19"/>
      <c r="U228" s="19"/>
      <c r="V228" s="19"/>
      <c r="W228" s="19"/>
      <c r="X228" s="19"/>
      <c r="Y228" s="19"/>
      <c r="Z228" s="19"/>
      <c r="AA228" s="19"/>
      <c r="AB228" s="19"/>
      <c r="AC228" s="19"/>
      <c r="AD228" s="19"/>
      <c r="AE228" s="19"/>
      <c r="AF228" s="19"/>
      <c r="AG228" s="19"/>
      <c r="AH228" s="19"/>
      <c r="AI228" s="19"/>
      <c r="AJ228" s="19"/>
      <c r="AK228" s="19"/>
    </row>
    <row r="229" hidden="1">
      <c r="A229" s="66"/>
      <c r="B229" s="27"/>
      <c r="C229" s="27"/>
      <c r="D229" s="27"/>
      <c r="E229" s="27"/>
      <c r="F229" s="27"/>
      <c r="G229" s="57" t="s">
        <v>960</v>
      </c>
      <c r="H229" s="15" t="str">
        <f t="shared" si="5"/>
        <v>https://youtube.com/embed/U9X3-rnPBYk</v>
      </c>
      <c r="I229" s="15" t="s">
        <v>962</v>
      </c>
      <c r="J229" s="17" t="str">
        <f>IFERROR(__xludf.DUMMYFUNCTION("CONCATENATE(""CLASE 0"",REGEXEXTRACT(G229,""[\d]+""))"),"CLASE 03")</f>
        <v>CLASE 03</v>
      </c>
      <c r="K229" s="17" t="s">
        <v>263</v>
      </c>
      <c r="L229" s="27"/>
      <c r="M229" s="18"/>
      <c r="N229" s="18"/>
      <c r="O229" s="18"/>
      <c r="P229" s="18"/>
      <c r="Q229" s="19"/>
      <c r="R229" s="21"/>
      <c r="S229" s="21"/>
      <c r="T229" s="19"/>
      <c r="U229" s="19"/>
      <c r="V229" s="19"/>
      <c r="W229" s="19"/>
      <c r="X229" s="19"/>
      <c r="Y229" s="19"/>
      <c r="Z229" s="19"/>
      <c r="AA229" s="19"/>
      <c r="AB229" s="19"/>
      <c r="AC229" s="19"/>
      <c r="AD229" s="19"/>
      <c r="AE229" s="19"/>
      <c r="AF229" s="19"/>
      <c r="AG229" s="19"/>
      <c r="AH229" s="19"/>
      <c r="AI229" s="19"/>
      <c r="AJ229" s="19"/>
      <c r="AK229" s="19"/>
    </row>
    <row r="230">
      <c r="A230" s="64" t="s">
        <v>963</v>
      </c>
      <c r="B230" s="26" t="str">
        <f>TRIM(MID(A230, SEARCH("- ", A230) + 2, LEN(A230)))
</f>
        <v>SEGURIDAD Y CONTROL AMBIENTAL EN EL MANTENIMIENTO</v>
      </c>
      <c r="C230" s="13" t="s">
        <v>77</v>
      </c>
      <c r="D230" s="13" t="s">
        <v>77</v>
      </c>
      <c r="E230" s="77" t="s">
        <v>965</v>
      </c>
      <c r="F230" s="13" t="s">
        <v>77</v>
      </c>
      <c r="G230" s="34" t="s">
        <v>966</v>
      </c>
      <c r="H230" s="15" t="str">
        <f t="shared" si="5"/>
        <v>https://youtube.com/embed/xtwLSdjZPT8</v>
      </c>
      <c r="I230" s="15" t="s">
        <v>967</v>
      </c>
      <c r="J230" s="30" t="str">
        <f>"COMIENZA DICIENDO QUE ES EL RESUMEN DEL CURSO " &amp; B230 &amp; " DE EDUMIN, LUEGO HAZ EL RESUMEN Y FINALIZA INVITANDO A VER EL RESTO DE RECURSOS DE LAS ZONAS DE EDUMIN."</f>
        <v>COMIENZA DICIENDO QUE ES EL RESUMEN DEL CURSO SEGURIDAD Y CONTROL AMBIENTAL EN EL MANTENIMIENTO DE EDUMIN, LUEGO HAZ EL RESUMEN Y FINALIZA INVITANDO A VER EL RESTO DE RECURSOS DE LAS ZONAS DE EDUMIN.</v>
      </c>
      <c r="K230" s="17" t="s">
        <v>114</v>
      </c>
      <c r="L230" s="18"/>
      <c r="M230" s="18" t="s">
        <v>912</v>
      </c>
      <c r="N230" s="18" t="s">
        <v>913</v>
      </c>
      <c r="O230" s="18" t="s">
        <v>871</v>
      </c>
      <c r="P230" s="18">
        <v>30.0</v>
      </c>
      <c r="Q230" s="19"/>
      <c r="R230" s="21" t="s">
        <v>122</v>
      </c>
      <c r="S230" s="21" t="s">
        <v>124</v>
      </c>
      <c r="T230" s="19"/>
      <c r="U230" s="19"/>
      <c r="V230" s="19"/>
      <c r="W230" s="19"/>
      <c r="X230" s="19"/>
      <c r="Y230" s="19"/>
      <c r="Z230" s="19"/>
      <c r="AA230" s="19"/>
      <c r="AB230" s="19"/>
      <c r="AC230" s="19"/>
      <c r="AD230" s="19"/>
      <c r="AE230" s="19"/>
      <c r="AF230" s="19"/>
      <c r="AG230" s="19"/>
      <c r="AH230" s="19"/>
      <c r="AI230" s="19"/>
      <c r="AJ230" s="19"/>
      <c r="AK230" s="19"/>
    </row>
    <row r="231">
      <c r="A231" s="66"/>
      <c r="B231" s="23"/>
      <c r="C231" s="23"/>
      <c r="D231" s="23"/>
      <c r="E231" s="23"/>
      <c r="F231" s="23"/>
      <c r="G231" s="34" t="s">
        <v>969</v>
      </c>
      <c r="H231" s="15" t="str">
        <f t="shared" si="5"/>
        <v>https://youtube.com/embed/Dp7hqGNLcsk</v>
      </c>
      <c r="I231" s="15" t="s">
        <v>970</v>
      </c>
      <c r="J231" s="37"/>
      <c r="K231" s="17" t="s">
        <v>114</v>
      </c>
      <c r="L231" s="18"/>
      <c r="M231" s="18"/>
      <c r="N231" s="18"/>
      <c r="O231" s="18"/>
      <c r="P231" s="18"/>
      <c r="Q231" s="19"/>
      <c r="R231" s="21"/>
      <c r="S231" s="21"/>
      <c r="T231" s="19"/>
      <c r="U231" s="19"/>
      <c r="V231" s="19"/>
      <c r="W231" s="19"/>
      <c r="X231" s="19"/>
      <c r="Y231" s="19"/>
      <c r="Z231" s="19"/>
      <c r="AA231" s="19"/>
      <c r="AB231" s="19"/>
      <c r="AC231" s="19"/>
      <c r="AD231" s="19"/>
      <c r="AE231" s="19"/>
      <c r="AF231" s="19"/>
      <c r="AG231" s="19"/>
      <c r="AH231" s="19"/>
      <c r="AI231" s="19"/>
      <c r="AJ231" s="19"/>
      <c r="AK231" s="19"/>
    </row>
    <row r="232">
      <c r="A232" s="66"/>
      <c r="B232" s="23"/>
      <c r="C232" s="23"/>
      <c r="D232" s="23"/>
      <c r="E232" s="23"/>
      <c r="F232" s="23"/>
      <c r="G232" s="34" t="s">
        <v>972</v>
      </c>
      <c r="H232" s="15" t="str">
        <f t="shared" si="5"/>
        <v>https://youtube.com/embed/0nBP_kt7ldA</v>
      </c>
      <c r="I232" s="15" t="s">
        <v>973</v>
      </c>
      <c r="J232" s="37"/>
      <c r="K232" s="17" t="s">
        <v>114</v>
      </c>
      <c r="L232" s="18"/>
      <c r="M232" s="18"/>
      <c r="N232" s="18"/>
      <c r="O232" s="18"/>
      <c r="P232" s="18"/>
      <c r="Q232" s="19"/>
      <c r="R232" s="21"/>
      <c r="S232" s="21"/>
      <c r="T232" s="19"/>
      <c r="U232" s="19"/>
      <c r="V232" s="19"/>
      <c r="W232" s="19"/>
      <c r="X232" s="19"/>
      <c r="Y232" s="19"/>
      <c r="Z232" s="19"/>
      <c r="AA232" s="19"/>
      <c r="AB232" s="19"/>
      <c r="AC232" s="19"/>
      <c r="AD232" s="19"/>
      <c r="AE232" s="19"/>
      <c r="AF232" s="19"/>
      <c r="AG232" s="19"/>
      <c r="AH232" s="19"/>
      <c r="AI232" s="19"/>
      <c r="AJ232" s="19"/>
      <c r="AK232" s="19"/>
    </row>
    <row r="233">
      <c r="A233" s="66"/>
      <c r="B233" s="27"/>
      <c r="C233" s="27"/>
      <c r="D233" s="27"/>
      <c r="E233" s="27"/>
      <c r="F233" s="27"/>
      <c r="G233" s="75"/>
      <c r="H233" s="63"/>
      <c r="I233" s="63"/>
      <c r="J233" s="37"/>
      <c r="K233" s="17" t="s">
        <v>114</v>
      </c>
      <c r="L233" s="18"/>
      <c r="M233" s="18"/>
      <c r="N233" s="18"/>
      <c r="O233" s="18"/>
      <c r="P233" s="18"/>
      <c r="Q233" s="19"/>
      <c r="R233" s="21"/>
      <c r="S233" s="21"/>
      <c r="T233" s="19"/>
      <c r="U233" s="19"/>
      <c r="V233" s="19"/>
      <c r="W233" s="19"/>
      <c r="X233" s="19"/>
      <c r="Y233" s="19"/>
      <c r="Z233" s="19"/>
      <c r="AA233" s="19"/>
      <c r="AB233" s="19"/>
      <c r="AC233" s="19"/>
      <c r="AD233" s="19"/>
      <c r="AE233" s="19"/>
      <c r="AF233" s="19"/>
      <c r="AG233" s="19"/>
      <c r="AH233" s="19"/>
      <c r="AI233" s="19"/>
      <c r="AJ233" s="19"/>
      <c r="AK233" s="19"/>
    </row>
    <row r="234" hidden="1">
      <c r="A234" s="66" t="s">
        <v>975</v>
      </c>
      <c r="B234" s="26" t="str">
        <f>TRIM(MID(A234, SEARCH("- ", A234) + 2, LEN(A234)))
</f>
        <v>GERENCIA DE PROYECTOS DEL MANTENIMIENTO</v>
      </c>
      <c r="C234" s="13" t="s">
        <v>77</v>
      </c>
      <c r="D234" s="13" t="s">
        <v>77</v>
      </c>
      <c r="E234" s="70" t="s">
        <v>57</v>
      </c>
      <c r="F234" s="13" t="s">
        <v>77</v>
      </c>
      <c r="G234" s="48" t="s">
        <v>976</v>
      </c>
      <c r="H234" s="15" t="str">
        <f t="shared" ref="H234:H241" si="6">SUBSTITUTE(LEFT(MID(G234,FIND("https",G234),99),FIND("?",G234)-FIND("https",G234)), "/live/", "/embed/")</f>
        <v>https://youtube.com/embed/EWefzYJlUT8</v>
      </c>
      <c r="I234" s="15" t="s">
        <v>977</v>
      </c>
      <c r="J234" s="17" t="s">
        <v>170</v>
      </c>
      <c r="K234" s="17" t="s">
        <v>510</v>
      </c>
      <c r="L234" s="78" t="s">
        <v>263</v>
      </c>
      <c r="M234" s="18" t="s">
        <v>870</v>
      </c>
      <c r="N234" s="18" t="s">
        <v>871</v>
      </c>
      <c r="O234" s="18" t="s">
        <v>872</v>
      </c>
      <c r="P234" s="18">
        <v>30.0</v>
      </c>
      <c r="Q234" s="19"/>
      <c r="R234" s="21" t="s">
        <v>122</v>
      </c>
      <c r="S234" s="21" t="s">
        <v>124</v>
      </c>
      <c r="T234" s="19"/>
      <c r="U234" s="19"/>
      <c r="V234" s="19"/>
      <c r="W234" s="19"/>
      <c r="X234" s="19"/>
      <c r="Y234" s="19"/>
      <c r="Z234" s="19"/>
      <c r="AA234" s="19"/>
      <c r="AB234" s="19"/>
      <c r="AC234" s="19"/>
      <c r="AD234" s="19"/>
      <c r="AE234" s="19"/>
      <c r="AF234" s="19"/>
      <c r="AG234" s="19"/>
      <c r="AH234" s="19"/>
      <c r="AI234" s="19"/>
      <c r="AJ234" s="19"/>
      <c r="AK234" s="19"/>
    </row>
    <row r="235" hidden="1">
      <c r="A235" s="66"/>
      <c r="B235" s="23"/>
      <c r="C235" s="23"/>
      <c r="D235" s="23"/>
      <c r="E235" s="23"/>
      <c r="F235" s="23"/>
      <c r="G235" s="79" t="s">
        <v>978</v>
      </c>
      <c r="H235" s="15" t="str">
        <f t="shared" si="6"/>
        <v>https://www.youtube.com/embed/y7e4TYMfT-M</v>
      </c>
      <c r="I235" s="15" t="s">
        <v>979</v>
      </c>
      <c r="J235" s="17" t="s">
        <v>185</v>
      </c>
      <c r="K235" s="17" t="s">
        <v>510</v>
      </c>
      <c r="L235" s="23"/>
      <c r="M235" s="18"/>
      <c r="N235" s="18"/>
      <c r="O235" s="18"/>
      <c r="P235" s="18"/>
      <c r="Q235" s="19"/>
      <c r="R235" s="21"/>
      <c r="S235" s="21"/>
      <c r="T235" s="19"/>
      <c r="U235" s="19"/>
      <c r="V235" s="19"/>
      <c r="W235" s="19"/>
      <c r="X235" s="19"/>
      <c r="Y235" s="19"/>
      <c r="Z235" s="19"/>
      <c r="AA235" s="19"/>
      <c r="AB235" s="19"/>
      <c r="AC235" s="19"/>
      <c r="AD235" s="19"/>
      <c r="AE235" s="19"/>
      <c r="AF235" s="19"/>
      <c r="AG235" s="19"/>
      <c r="AH235" s="19"/>
      <c r="AI235" s="19"/>
      <c r="AJ235" s="19"/>
      <c r="AK235" s="19"/>
    </row>
    <row r="236" hidden="1">
      <c r="A236" s="66"/>
      <c r="B236" s="23"/>
      <c r="C236" s="23"/>
      <c r="D236" s="23"/>
      <c r="E236" s="23"/>
      <c r="F236" s="23"/>
      <c r="G236" s="48" t="s">
        <v>980</v>
      </c>
      <c r="H236" s="15" t="str">
        <f t="shared" si="6"/>
        <v>https://youtube.com/embed/5u2ptqn39sY</v>
      </c>
      <c r="I236" s="15" t="s">
        <v>982</v>
      </c>
      <c r="J236" s="17" t="s">
        <v>192</v>
      </c>
      <c r="K236" s="17" t="s">
        <v>510</v>
      </c>
      <c r="L236" s="23"/>
      <c r="M236" s="18"/>
      <c r="N236" s="18"/>
      <c r="O236" s="18"/>
      <c r="P236" s="18"/>
      <c r="Q236" s="19"/>
      <c r="R236" s="21"/>
      <c r="S236" s="21"/>
      <c r="T236" s="19"/>
      <c r="U236" s="19"/>
      <c r="V236" s="19"/>
      <c r="W236" s="19"/>
      <c r="X236" s="19"/>
      <c r="Y236" s="19"/>
      <c r="Z236" s="19"/>
      <c r="AA236" s="19"/>
      <c r="AB236" s="19"/>
      <c r="AC236" s="19"/>
      <c r="AD236" s="19"/>
      <c r="AE236" s="19"/>
      <c r="AF236" s="19"/>
      <c r="AG236" s="19"/>
      <c r="AH236" s="19"/>
      <c r="AI236" s="19"/>
      <c r="AJ236" s="19"/>
      <c r="AK236" s="19"/>
    </row>
    <row r="237" hidden="1">
      <c r="A237" s="66"/>
      <c r="B237" s="27"/>
      <c r="C237" s="27"/>
      <c r="D237" s="27"/>
      <c r="E237" s="27"/>
      <c r="F237" s="27"/>
      <c r="G237" s="48" t="s">
        <v>984</v>
      </c>
      <c r="H237" s="15" t="str">
        <f t="shared" si="6"/>
        <v>https://youtube.com/embed/5KgvIuqlddE</v>
      </c>
      <c r="I237" s="15" t="s">
        <v>985</v>
      </c>
      <c r="J237" s="17" t="s">
        <v>212</v>
      </c>
      <c r="K237" s="17" t="s">
        <v>510</v>
      </c>
      <c r="L237" s="27"/>
      <c r="M237" s="18"/>
      <c r="N237" s="18"/>
      <c r="O237" s="18"/>
      <c r="P237" s="18"/>
      <c r="Q237" s="19"/>
      <c r="R237" s="21"/>
      <c r="S237" s="21"/>
      <c r="T237" s="19"/>
      <c r="U237" s="19"/>
      <c r="V237" s="19"/>
      <c r="W237" s="19"/>
      <c r="X237" s="19"/>
      <c r="Y237" s="19"/>
      <c r="Z237" s="19"/>
      <c r="AA237" s="19"/>
      <c r="AB237" s="19"/>
      <c r="AC237" s="19"/>
      <c r="AD237" s="19"/>
      <c r="AE237" s="19"/>
      <c r="AF237" s="19"/>
      <c r="AG237" s="19"/>
      <c r="AH237" s="19"/>
      <c r="AI237" s="19"/>
      <c r="AJ237" s="19"/>
      <c r="AK237" s="19"/>
    </row>
    <row r="238" hidden="1">
      <c r="A238" s="66" t="s">
        <v>987</v>
      </c>
      <c r="B238" s="26" t="str">
        <f>TRIM(MID(A238, SEARCH("- ", A238) + 2, LEN(A238)))
</f>
        <v>GESTIÓN DE COSTOS DEL MANTENIMIENTO EN LA INDUSTRIA 4.0</v>
      </c>
      <c r="C238" s="13" t="s">
        <v>77</v>
      </c>
      <c r="D238" s="13" t="s">
        <v>77</v>
      </c>
      <c r="E238" s="70" t="s">
        <v>57</v>
      </c>
      <c r="F238" s="13" t="s">
        <v>77</v>
      </c>
      <c r="G238" s="79" t="s">
        <v>988</v>
      </c>
      <c r="H238" s="15" t="str">
        <f t="shared" si="6"/>
        <v>https://youtube.com/embed/aAGSbABpRLc</v>
      </c>
      <c r="I238" s="15" t="s">
        <v>989</v>
      </c>
      <c r="J238" s="17" t="str">
        <f>IFERROR(__xludf.DUMMYFUNCTION("CONCATENATE(""CLASE 0"",REGEXEXTRACT(G238,""[\d]+""))"),"CLASE 01")</f>
        <v>CLASE 01</v>
      </c>
      <c r="K238" s="17" t="s">
        <v>510</v>
      </c>
      <c r="L238" s="78" t="s">
        <v>263</v>
      </c>
      <c r="M238" s="18" t="s">
        <v>870</v>
      </c>
      <c r="N238" s="18" t="s">
        <v>871</v>
      </c>
      <c r="O238" s="18" t="s">
        <v>872</v>
      </c>
      <c r="P238" s="18">
        <v>30.0</v>
      </c>
      <c r="Q238" s="19"/>
      <c r="R238" s="21" t="s">
        <v>122</v>
      </c>
      <c r="S238" s="21" t="s">
        <v>124</v>
      </c>
      <c r="T238" s="19"/>
      <c r="U238" s="19"/>
      <c r="V238" s="19"/>
      <c r="W238" s="19"/>
      <c r="X238" s="19"/>
      <c r="Y238" s="19"/>
      <c r="Z238" s="19"/>
      <c r="AA238" s="19"/>
      <c r="AB238" s="19"/>
      <c r="AC238" s="19"/>
      <c r="AD238" s="19"/>
      <c r="AE238" s="19"/>
      <c r="AF238" s="19"/>
      <c r="AG238" s="19"/>
      <c r="AH238" s="19"/>
      <c r="AI238" s="19"/>
      <c r="AJ238" s="19"/>
      <c r="AK238" s="19"/>
    </row>
    <row r="239" hidden="1">
      <c r="A239" s="62"/>
      <c r="B239" s="23"/>
      <c r="C239" s="23"/>
      <c r="D239" s="23"/>
      <c r="E239" s="23"/>
      <c r="F239" s="23"/>
      <c r="G239" s="79" t="s">
        <v>991</v>
      </c>
      <c r="H239" s="15" t="str">
        <f t="shared" si="6"/>
        <v>https://youtube.com/embed/U_3HI15SU6o</v>
      </c>
      <c r="I239" s="15" t="s">
        <v>992</v>
      </c>
      <c r="J239" s="17" t="str">
        <f>IFERROR(__xludf.DUMMYFUNCTION("CONCATENATE(""CLASE 0"",REGEXEXTRACT(G239,""[\d]+""))"),"CLASE 02")</f>
        <v>CLASE 02</v>
      </c>
      <c r="K239" s="17" t="s">
        <v>510</v>
      </c>
      <c r="L239" s="23"/>
      <c r="M239" s="80"/>
      <c r="N239" s="80"/>
      <c r="O239" s="80"/>
      <c r="P239" s="80"/>
      <c r="Q239" s="81"/>
      <c r="R239" s="82"/>
      <c r="S239" s="82"/>
      <c r="T239" s="82"/>
      <c r="U239" s="82"/>
      <c r="V239" s="82"/>
      <c r="W239" s="82"/>
      <c r="X239" s="82"/>
      <c r="Y239" s="82"/>
      <c r="Z239" s="82"/>
      <c r="AA239" s="82"/>
      <c r="AB239" s="82"/>
      <c r="AC239" s="82"/>
      <c r="AD239" s="82"/>
      <c r="AE239" s="82"/>
      <c r="AF239" s="82"/>
      <c r="AG239" s="82"/>
      <c r="AH239" s="82"/>
      <c r="AI239" s="82"/>
      <c r="AJ239" s="82"/>
      <c r="AK239" s="82"/>
    </row>
    <row r="240" hidden="1">
      <c r="A240" s="62"/>
      <c r="B240" s="23"/>
      <c r="C240" s="23"/>
      <c r="D240" s="23"/>
      <c r="E240" s="23"/>
      <c r="F240" s="23"/>
      <c r="G240" s="79" t="s">
        <v>994</v>
      </c>
      <c r="H240" s="15" t="str">
        <f t="shared" si="6"/>
        <v>https://youtube.com/embed/guDoLshQGlo</v>
      </c>
      <c r="I240" s="15" t="s">
        <v>996</v>
      </c>
      <c r="J240" s="17" t="str">
        <f>IFERROR(__xludf.DUMMYFUNCTION("CONCATENATE(""CLASE 0"",REGEXEXTRACT(G240,""[\d]+""))"),"CLASE 03")</f>
        <v>CLASE 03</v>
      </c>
      <c r="K240" s="17" t="s">
        <v>510</v>
      </c>
      <c r="L240" s="23"/>
      <c r="M240" s="83"/>
      <c r="N240" s="83"/>
      <c r="O240" s="83"/>
      <c r="P240" s="83"/>
      <c r="Q240" s="19"/>
      <c r="R240" s="19"/>
      <c r="S240" s="19"/>
      <c r="T240" s="19"/>
      <c r="U240" s="19"/>
      <c r="V240" s="19"/>
      <c r="W240" s="19"/>
      <c r="X240" s="19"/>
      <c r="Y240" s="19"/>
      <c r="Z240" s="19"/>
      <c r="AA240" s="19"/>
      <c r="AB240" s="19"/>
      <c r="AC240" s="19"/>
      <c r="AD240" s="19"/>
      <c r="AE240" s="19"/>
      <c r="AF240" s="19"/>
      <c r="AG240" s="19"/>
      <c r="AH240" s="19"/>
      <c r="AI240" s="19"/>
      <c r="AJ240" s="19"/>
      <c r="AK240" s="19"/>
    </row>
    <row r="241" hidden="1">
      <c r="A241" s="62"/>
      <c r="B241" s="27"/>
      <c r="C241" s="27"/>
      <c r="D241" s="27"/>
      <c r="E241" s="27"/>
      <c r="F241" s="27"/>
      <c r="G241" s="48" t="s">
        <v>997</v>
      </c>
      <c r="H241" s="15" t="str">
        <f t="shared" si="6"/>
        <v>https://youtube.com/embed/OqFlA1Nr1T8</v>
      </c>
      <c r="I241" s="15" t="s">
        <v>999</v>
      </c>
      <c r="J241" s="17" t="str">
        <f>IFERROR(__xludf.DUMMYFUNCTION("CONCATENATE(""CLASE 0"",REGEXEXTRACT(G241,""[\d]+""))"),"CLASE 04")</f>
        <v>CLASE 04</v>
      </c>
      <c r="K241" s="17" t="s">
        <v>510</v>
      </c>
      <c r="L241" s="27"/>
      <c r="M241" s="83"/>
      <c r="N241" s="83"/>
      <c r="O241" s="83"/>
      <c r="P241" s="83"/>
      <c r="Q241" s="19"/>
      <c r="R241" s="19"/>
      <c r="S241" s="19"/>
      <c r="T241" s="19"/>
      <c r="U241" s="19"/>
      <c r="V241" s="19"/>
      <c r="W241" s="19"/>
      <c r="X241" s="19"/>
      <c r="Y241" s="19"/>
      <c r="Z241" s="19"/>
      <c r="AA241" s="19"/>
      <c r="AB241" s="19"/>
      <c r="AC241" s="19"/>
      <c r="AD241" s="19"/>
      <c r="AE241" s="19"/>
      <c r="AF241" s="19"/>
      <c r="AG241" s="19"/>
      <c r="AH241" s="19"/>
      <c r="AI241" s="19"/>
      <c r="AJ241" s="19"/>
      <c r="AK241" s="19"/>
    </row>
    <row r="242" ht="22.5" hidden="1" customHeight="1">
      <c r="A242" s="84" t="s">
        <v>1000</v>
      </c>
      <c r="B242" s="12" t="s">
        <v>103</v>
      </c>
      <c r="C242" s="13" t="s">
        <v>77</v>
      </c>
      <c r="D242" s="13" t="s">
        <v>77</v>
      </c>
      <c r="E242" s="13" t="s">
        <v>60</v>
      </c>
      <c r="F242" s="13" t="s">
        <v>77</v>
      </c>
      <c r="G242" s="48" t="s">
        <v>1001</v>
      </c>
      <c r="H242" s="15" t="str">
        <f t="shared" ref="H242:H249" si="7">IFERROR(SUBSTITUTE(LEFT(MID(G242,FIND("https",G242),99),FIND("?",G242)-FIND("https",G242)), "/live/", "/embed/"),"")</f>
        <v>https://youtube.com/embed/NXQFBkkXRDc</v>
      </c>
      <c r="I242" s="15" t="s">
        <v>1003</v>
      </c>
      <c r="J242" s="16" t="str">
        <f>"COMIENZA DICIENDO QUE ES EL RESUMEN DEL CURSO " &amp; B242 &amp; " DE EDUMIN, LUEGO HAZ EL RESUMEN Y FINALIZA INVITANDO A VER EL RESTO DE RECURSOS DE LAS ZONAS DE EDUMIN."</f>
        <v>COMIENZA DICIENDO QUE ES EL RESUMEN DEL CURSO SOSTENIBILIDAD Y MINERÍA RESPONSABLE DE EDUMIN, LUEGO HAZ EL RESUMEN Y FINALIZA INVITANDO A VER EL RESTO DE RECURSOS DE LAS ZONAS DE EDUMIN.</v>
      </c>
      <c r="K242" s="17" t="s">
        <v>114</v>
      </c>
      <c r="L242" s="83"/>
      <c r="M242" s="83"/>
      <c r="N242" s="83"/>
      <c r="O242" s="83"/>
      <c r="P242" s="83"/>
      <c r="Q242" s="19"/>
      <c r="R242" s="19"/>
      <c r="S242" s="19"/>
      <c r="T242" s="19"/>
      <c r="U242" s="19"/>
      <c r="V242" s="19"/>
      <c r="W242" s="19"/>
      <c r="X242" s="19"/>
      <c r="Y242" s="19"/>
      <c r="Z242" s="19"/>
      <c r="AA242" s="19"/>
      <c r="AB242" s="19"/>
      <c r="AC242" s="19"/>
      <c r="AD242" s="19"/>
      <c r="AE242" s="19"/>
      <c r="AF242" s="19"/>
      <c r="AG242" s="19"/>
      <c r="AH242" s="19"/>
      <c r="AI242" s="19"/>
      <c r="AJ242" s="19"/>
      <c r="AK242" s="19"/>
    </row>
    <row r="243" ht="22.5" hidden="1" customHeight="1">
      <c r="A243" s="64"/>
      <c r="B243" s="27"/>
      <c r="C243" s="23"/>
      <c r="D243" s="23"/>
      <c r="E243" s="27"/>
      <c r="F243" s="23"/>
      <c r="G243" s="79" t="s">
        <v>1004</v>
      </c>
      <c r="H243" s="15" t="str">
        <f t="shared" si="7"/>
        <v>https://youtube.com/embed/pbTeN_qCaEk</v>
      </c>
      <c r="I243" s="15" t="s">
        <v>1006</v>
      </c>
      <c r="J243" s="85"/>
      <c r="K243" s="17" t="s">
        <v>114</v>
      </c>
      <c r="L243" s="83"/>
      <c r="M243" s="83"/>
      <c r="N243" s="83"/>
      <c r="O243" s="83"/>
      <c r="P243" s="83"/>
      <c r="Q243" s="19"/>
      <c r="R243" s="19"/>
      <c r="S243" s="19"/>
      <c r="T243" s="19"/>
      <c r="U243" s="19"/>
      <c r="V243" s="19"/>
      <c r="W243" s="19"/>
      <c r="X243" s="19"/>
      <c r="Y243" s="19"/>
      <c r="Z243" s="19"/>
      <c r="AA243" s="19"/>
      <c r="AB243" s="19"/>
      <c r="AC243" s="19"/>
      <c r="AD243" s="19"/>
      <c r="AE243" s="19"/>
      <c r="AF243" s="19"/>
      <c r="AG243" s="19"/>
      <c r="AH243" s="19"/>
      <c r="AI243" s="19"/>
      <c r="AJ243" s="19"/>
      <c r="AK243" s="19"/>
    </row>
    <row r="244" ht="22.5" customHeight="1">
      <c r="A244" s="84" t="s">
        <v>1008</v>
      </c>
      <c r="B244" s="26" t="s">
        <v>115</v>
      </c>
      <c r="C244" s="13" t="s">
        <v>77</v>
      </c>
      <c r="D244" s="13" t="s">
        <v>77</v>
      </c>
      <c r="E244" s="13" t="s">
        <v>60</v>
      </c>
      <c r="F244" s="13" t="s">
        <v>77</v>
      </c>
      <c r="G244" s="48" t="s">
        <v>1009</v>
      </c>
      <c r="H244" s="15" t="str">
        <f t="shared" si="7"/>
        <v>https://youtube.com/embed/QBwK1TDAy9E</v>
      </c>
      <c r="I244" s="15" t="s">
        <v>1010</v>
      </c>
      <c r="J244" s="30" t="str">
        <f>"COMIENZA DICIENDO QUE ES EL RESUMEN DEL CURSO " &amp; B244 &amp; " DE EDUMIN, LUEGO HAZ EL RESUMEN Y FINALIZA INVITANDO A VER EL RESTO DE RECURSOS DE LAS ZONAS DE EDUMIN."</f>
        <v>COMIENZA DICIENDO QUE ES EL RESUMEN DEL CURSO PRIMEROS AUXILIOS EN MINERÍA DE EDUMIN, LUEGO HAZ EL RESUMEN Y FINALIZA INVITANDO A VER EL RESTO DE RECURSOS DE LAS ZONAS DE EDUMIN.</v>
      </c>
      <c r="K244" s="17" t="s">
        <v>114</v>
      </c>
      <c r="L244" s="83"/>
      <c r="M244" s="83"/>
      <c r="N244" s="83"/>
      <c r="O244" s="83"/>
      <c r="P244" s="83"/>
      <c r="Q244" s="19"/>
      <c r="R244" s="19"/>
      <c r="S244" s="19"/>
      <c r="T244" s="19"/>
      <c r="U244" s="19"/>
      <c r="V244" s="19"/>
      <c r="W244" s="19"/>
      <c r="X244" s="19"/>
      <c r="Y244" s="19"/>
      <c r="Z244" s="19"/>
      <c r="AA244" s="19"/>
      <c r="AB244" s="19"/>
      <c r="AC244" s="19"/>
      <c r="AD244" s="19"/>
      <c r="AE244" s="19"/>
      <c r="AF244" s="19"/>
      <c r="AG244" s="19"/>
      <c r="AH244" s="19"/>
      <c r="AI244" s="19"/>
      <c r="AJ244" s="19"/>
      <c r="AK244" s="19"/>
    </row>
    <row r="245" ht="22.5" customHeight="1">
      <c r="A245" s="64"/>
      <c r="B245" s="27"/>
      <c r="C245" s="23"/>
      <c r="D245" s="23"/>
      <c r="E245" s="27"/>
      <c r="F245" s="23"/>
      <c r="G245" s="86" t="s">
        <v>1012</v>
      </c>
      <c r="H245" s="15" t="str">
        <f t="shared" si="7"/>
        <v>https://youtube.com/embed/PN9JMPsGWJI</v>
      </c>
      <c r="I245" s="15" t="s">
        <v>1013</v>
      </c>
      <c r="J245" s="87"/>
      <c r="K245" s="17" t="s">
        <v>114</v>
      </c>
      <c r="L245" s="83"/>
      <c r="M245" s="83"/>
      <c r="N245" s="83"/>
      <c r="O245" s="83"/>
      <c r="P245" s="83"/>
      <c r="Q245" s="19"/>
      <c r="R245" s="19"/>
      <c r="S245" s="19"/>
      <c r="T245" s="19"/>
      <c r="U245" s="19"/>
      <c r="V245" s="19"/>
      <c r="W245" s="19"/>
      <c r="X245" s="19"/>
      <c r="Y245" s="19"/>
      <c r="Z245" s="19"/>
      <c r="AA245" s="19"/>
      <c r="AB245" s="19"/>
      <c r="AC245" s="19"/>
      <c r="AD245" s="19"/>
      <c r="AE245" s="19"/>
      <c r="AF245" s="19"/>
      <c r="AG245" s="19"/>
      <c r="AH245" s="19"/>
      <c r="AI245" s="19"/>
      <c r="AJ245" s="19"/>
      <c r="AK245" s="19"/>
    </row>
    <row r="246" ht="22.5" hidden="1" customHeight="1">
      <c r="A246" s="88" t="s">
        <v>1014</v>
      </c>
      <c r="B246" s="89" t="s">
        <v>24</v>
      </c>
      <c r="C246" s="90" t="s">
        <v>77</v>
      </c>
      <c r="D246" s="90"/>
      <c r="E246" s="13" t="s">
        <v>63</v>
      </c>
      <c r="F246" s="90" t="s">
        <v>77</v>
      </c>
      <c r="G246" s="91" t="s">
        <v>1016</v>
      </c>
      <c r="H246" s="92" t="str">
        <f t="shared" si="7"/>
        <v>https://youtube.com/embed/tHDeyxJWpDc</v>
      </c>
      <c r="I246" s="15" t="s">
        <v>1017</v>
      </c>
      <c r="J246" s="17" t="s">
        <v>170</v>
      </c>
      <c r="K246" s="17" t="s">
        <v>114</v>
      </c>
      <c r="L246" s="93" t="str">
        <f>"COMIENZA DICIENDO QUE ES EL RESUMEN DEL CURSO " &amp; B246 &amp; " DE EDUMIN, LUEGO HAZ EL RESUMEN Y FINALIZA INVITANDO A VER EL RESTO DE RECURSOS DE LAS ZONAS DE EDUMIN."</f>
        <v>COMIENZA DICIENDO QUE ES EL RESUMEN DEL CURSO INDICADORES CLAVE (KPIS) PARA LA CADENA DE ABASTECIMIENTOS DE EDUMIN, LUEGO HAZ EL RESUMEN Y FINALIZA INVITANDO A VER EL RESTO DE RECURSOS DE LAS ZONAS DE EDUMIN.</v>
      </c>
      <c r="M246" s="94"/>
      <c r="N246" s="94"/>
      <c r="O246" s="94"/>
      <c r="P246" s="94"/>
      <c r="Q246" s="60"/>
      <c r="R246" s="60"/>
      <c r="S246" s="60"/>
      <c r="T246" s="60"/>
      <c r="U246" s="60"/>
      <c r="V246" s="60"/>
      <c r="W246" s="60"/>
      <c r="X246" s="60"/>
      <c r="Y246" s="60"/>
      <c r="Z246" s="60"/>
      <c r="AA246" s="60"/>
      <c r="AB246" s="60"/>
      <c r="AC246" s="60"/>
      <c r="AD246" s="60"/>
      <c r="AE246" s="60"/>
      <c r="AF246" s="60"/>
      <c r="AG246" s="60"/>
      <c r="AH246" s="60"/>
      <c r="AI246" s="60"/>
      <c r="AJ246" s="60"/>
      <c r="AK246" s="60"/>
    </row>
    <row r="247" ht="22.5" hidden="1" customHeight="1">
      <c r="A247" s="27"/>
      <c r="B247" s="27"/>
      <c r="C247" s="23"/>
      <c r="D247" s="23"/>
      <c r="E247" s="27"/>
      <c r="F247" s="23"/>
      <c r="G247" s="95" t="s">
        <v>1019</v>
      </c>
      <c r="H247" s="92" t="str">
        <f t="shared" si="7"/>
        <v>https://youtube.com/embed/8q2uIts7_uY</v>
      </c>
      <c r="I247" s="15" t="s">
        <v>1021</v>
      </c>
      <c r="J247" s="17" t="s">
        <v>185</v>
      </c>
      <c r="K247" s="17" t="s">
        <v>114</v>
      </c>
      <c r="L247" s="93"/>
      <c r="M247" s="94"/>
      <c r="N247" s="94"/>
      <c r="O247" s="94"/>
      <c r="P247" s="94"/>
      <c r="Q247" s="60"/>
      <c r="R247" s="60"/>
      <c r="S247" s="60"/>
      <c r="T247" s="60"/>
      <c r="U247" s="60"/>
      <c r="V247" s="60"/>
      <c r="W247" s="60"/>
      <c r="X247" s="60"/>
      <c r="Y247" s="60"/>
      <c r="Z247" s="60"/>
      <c r="AA247" s="60"/>
      <c r="AB247" s="60"/>
      <c r="AC247" s="60"/>
      <c r="AD247" s="60"/>
      <c r="AE247" s="60"/>
      <c r="AF247" s="60"/>
      <c r="AG247" s="60"/>
      <c r="AH247" s="60"/>
      <c r="AI247" s="60"/>
      <c r="AJ247" s="60"/>
      <c r="AK247" s="60"/>
    </row>
    <row r="248" ht="22.5" hidden="1" customHeight="1">
      <c r="A248" s="88" t="s">
        <v>1022</v>
      </c>
      <c r="B248" s="89" t="s">
        <v>75</v>
      </c>
      <c r="C248" s="90" t="s">
        <v>77</v>
      </c>
      <c r="D248" s="90" t="s">
        <v>77</v>
      </c>
      <c r="E248" s="70" t="s">
        <v>57</v>
      </c>
      <c r="F248" s="90" t="s">
        <v>77</v>
      </c>
      <c r="G248" s="91" t="s">
        <v>1024</v>
      </c>
      <c r="H248" s="92" t="str">
        <f t="shared" si="7"/>
        <v>https://youtube.com/embed/NGa4N5su0Ok</v>
      </c>
      <c r="I248" s="15" t="s">
        <v>1025</v>
      </c>
      <c r="J248" s="16" t="str">
        <f>"COMIENZA DICIENDO QUE ES EL RESUMEN DEL CURSO " &amp; B248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K248" s="18" t="s">
        <v>114</v>
      </c>
      <c r="L248" s="94" t="str">
        <f>"COMIENZA DICIENDO QUE ES EL RESUMEN DEL CURSO " &amp; B248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M248" s="94"/>
      <c r="N248" s="94"/>
      <c r="O248" s="94"/>
      <c r="P248" s="94"/>
      <c r="Q248" s="60"/>
      <c r="R248" s="60"/>
      <c r="S248" s="60"/>
      <c r="T248" s="60"/>
      <c r="U248" s="60"/>
      <c r="V248" s="60"/>
      <c r="W248" s="60"/>
      <c r="X248" s="60"/>
      <c r="Y248" s="60"/>
      <c r="Z248" s="60"/>
      <c r="AA248" s="60"/>
      <c r="AB248" s="60"/>
      <c r="AC248" s="60"/>
      <c r="AD248" s="60"/>
      <c r="AE248" s="60"/>
      <c r="AF248" s="60"/>
      <c r="AG248" s="60"/>
      <c r="AH248" s="60"/>
      <c r="AI248" s="60"/>
      <c r="AJ248" s="60"/>
      <c r="AK248" s="60"/>
    </row>
    <row r="249" ht="22.5" hidden="1" customHeight="1">
      <c r="A249" s="27"/>
      <c r="B249" s="27"/>
      <c r="C249" s="23"/>
      <c r="D249" s="23"/>
      <c r="E249" s="27"/>
      <c r="F249" s="23"/>
      <c r="G249" s="91" t="s">
        <v>1026</v>
      </c>
      <c r="H249" s="92" t="str">
        <f t="shared" si="7"/>
        <v>https://youtube.com/embed/S7w7aoauTX0</v>
      </c>
      <c r="I249" s="15" t="s">
        <v>1027</v>
      </c>
      <c r="J249" s="17" t="s">
        <v>185</v>
      </c>
      <c r="K249" s="18" t="s">
        <v>114</v>
      </c>
      <c r="L249" s="94"/>
      <c r="M249" s="94"/>
      <c r="N249" s="94"/>
      <c r="O249" s="94"/>
      <c r="P249" s="94"/>
      <c r="Q249" s="60"/>
      <c r="R249" s="60"/>
      <c r="S249" s="60"/>
      <c r="T249" s="60"/>
      <c r="U249" s="60"/>
      <c r="V249" s="60"/>
      <c r="W249" s="60"/>
      <c r="X249" s="60"/>
      <c r="Y249" s="60"/>
      <c r="Z249" s="60"/>
      <c r="AA249" s="60"/>
      <c r="AB249" s="60"/>
      <c r="AC249" s="60"/>
      <c r="AD249" s="60"/>
      <c r="AE249" s="60"/>
      <c r="AF249" s="60"/>
      <c r="AG249" s="60"/>
      <c r="AH249" s="60"/>
      <c r="AI249" s="60"/>
      <c r="AJ249" s="60"/>
      <c r="AK249" s="60"/>
    </row>
    <row r="250" ht="22.5" customHeight="1">
      <c r="A250" s="96" t="s">
        <v>1029</v>
      </c>
      <c r="B250" s="97" t="s">
        <v>16</v>
      </c>
      <c r="C250" s="98" t="s">
        <v>77</v>
      </c>
      <c r="D250" s="98" t="s">
        <v>77</v>
      </c>
      <c r="E250" s="13" t="s">
        <v>60</v>
      </c>
      <c r="F250" s="98" t="s">
        <v>77</v>
      </c>
      <c r="G250" s="99" t="s">
        <v>1031</v>
      </c>
      <c r="H250" s="100" t="str">
        <f t="shared" ref="H250:H251" si="8">IFERROR(
  SUBSTITUTE(
    IF(
      ISNUMBER(FIND("?" , G250)),
      LEFT(MID(G250,FIND("https",G250),99), FIND("?" , G250) - FIND("https",G250)),
      MID(G250,FIND("https",G250),99)
    ),
    "/live/",
    "/embed/"
  ),
  ""
)
</f>
        <v>https://youtube.com/embed/w3-iIVNbbBA</v>
      </c>
      <c r="I250" s="15" t="s">
        <v>1033</v>
      </c>
      <c r="J250" s="30" t="str">
        <f>"COMIENZA DICIENDO QUE ES EL RESUMEN DEL CURSO " &amp; B250 &amp; " DE EDUMIN, LUEGO HAZ EL RESUMEN Y FINALIZA INVITANDO A VER EL RESTO DE RECURSOS DE LAS ZONAS DE EDUMIN."</f>
        <v>COMIENZA DICIENDO QUE ES EL RESUMEN DEL CURSO REQUISITOS CLAVE DE ISO 14001 Y CÓMO APLICARLOS EN LA EMPRESA DE EDUMIN, LUEGO HAZ EL RESUMEN Y FINALIZA INVITANDO A VER EL RESTO DE RECURSOS DE LAS ZONAS DE EDUMIN.</v>
      </c>
      <c r="K250" s="17" t="s">
        <v>114</v>
      </c>
      <c r="L250" s="101"/>
      <c r="M250" s="101"/>
      <c r="N250" s="101"/>
      <c r="O250" s="101"/>
      <c r="P250" s="101"/>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row>
    <row r="251" ht="22.5" customHeight="1">
      <c r="A251" s="103"/>
      <c r="B251" s="27"/>
      <c r="C251" s="23"/>
      <c r="D251" s="23"/>
      <c r="E251" s="27"/>
      <c r="F251" s="23"/>
      <c r="G251" s="99" t="s">
        <v>1035</v>
      </c>
      <c r="H251" s="100" t="str">
        <f t="shared" si="8"/>
        <v>https://youtube.com/embed/yhylUPjcdkc</v>
      </c>
      <c r="I251" s="15" t="s">
        <v>1037</v>
      </c>
      <c r="J251" s="104"/>
      <c r="K251" s="17" t="s">
        <v>114</v>
      </c>
      <c r="L251" s="101"/>
      <c r="M251" s="101"/>
      <c r="N251" s="101"/>
      <c r="O251" s="101"/>
      <c r="P251" s="101"/>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row>
    <row r="252" ht="22.5" customHeight="1">
      <c r="A252" s="96" t="s">
        <v>1038</v>
      </c>
      <c r="B252" s="97" t="s">
        <v>19</v>
      </c>
      <c r="C252" s="98" t="s">
        <v>77</v>
      </c>
      <c r="D252" s="98" t="s">
        <v>77</v>
      </c>
      <c r="E252" s="13" t="s">
        <v>60</v>
      </c>
      <c r="F252" s="98" t="s">
        <v>77</v>
      </c>
      <c r="G252" s="105"/>
      <c r="H252" s="107" t="s">
        <v>1039</v>
      </c>
      <c r="I252" s="107" t="s">
        <v>1040</v>
      </c>
      <c r="J252" s="30" t="str">
        <f>"COMIENZA DICIENDO QUE ES EL RESUMEN DEL CURSO " &amp; B252 &amp; " DE EDUMIN, LUEGO HAZ EL RESUMEN Y FINALIZA INVITANDO A VER EL RESTO DE RECURSOS DE LAS ZONAS DE EDUMIN."</f>
        <v>COMIENZA DICIENDO QUE ES EL RESUMEN DEL CURSO SISTEMAS INTEGRADOS DE GESTIÓN HSEQ (ISO 9001, 14001, 45001) DE EDUMIN, LUEGO HAZ EL RESUMEN Y FINALIZA INVITANDO A VER EL RESTO DE RECURSOS DE LAS ZONAS DE EDUMIN.</v>
      </c>
      <c r="K252" s="17" t="s">
        <v>114</v>
      </c>
      <c r="L252" s="101"/>
      <c r="M252" s="101"/>
      <c r="N252" s="101"/>
      <c r="O252" s="101"/>
      <c r="P252" s="101"/>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row>
    <row r="253" ht="22.5" customHeight="1">
      <c r="A253" s="103"/>
      <c r="B253" s="27"/>
      <c r="C253" s="23"/>
      <c r="D253" s="23"/>
      <c r="E253" s="27"/>
      <c r="F253" s="23"/>
      <c r="G253" s="105"/>
      <c r="H253" s="107" t="s">
        <v>1039</v>
      </c>
      <c r="I253" s="107" t="s">
        <v>1040</v>
      </c>
      <c r="J253" s="104"/>
      <c r="K253" s="17" t="s">
        <v>114</v>
      </c>
      <c r="L253" s="101"/>
      <c r="M253" s="101"/>
      <c r="N253" s="101"/>
      <c r="O253" s="101"/>
      <c r="P253" s="101"/>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row>
    <row r="254" ht="22.5" hidden="1" customHeight="1">
      <c r="A254" s="96" t="s">
        <v>1041</v>
      </c>
      <c r="B254" s="97" t="s">
        <v>11</v>
      </c>
      <c r="C254" s="98" t="s">
        <v>77</v>
      </c>
      <c r="D254" s="98" t="s">
        <v>77</v>
      </c>
      <c r="E254" s="13" t="s">
        <v>60</v>
      </c>
      <c r="F254" s="98" t="s">
        <v>77</v>
      </c>
      <c r="G254" s="108" t="s">
        <v>1043</v>
      </c>
      <c r="H254" s="100" t="str">
        <f t="shared" ref="H254:H255" si="9">IFERROR(
  SUBSTITUTE(
    IF(
      ISNUMBER(FIND("?" , G254)),
      LEFT(MID(G254,FIND("https",G254),99), FIND("?" , G254) - FIND("https",G254)),
      MID(G254,FIND("https",G254),99)
    ),
    "/live/",
    "/embed/"
  ),
  ""
)
</f>
        <v>https://youtube.com/embed/JCuIfXtExFU</v>
      </c>
      <c r="I254" s="32" t="s">
        <v>1045</v>
      </c>
      <c r="J254" s="17" t="str">
        <f>IFERROR(__xludf.DUMMYFUNCTION("CONCATENATE(""CLASE 0"",REGEXEXTRACT(G254,""[\d]+""))"),"CLASE 01")</f>
        <v>CLASE 01</v>
      </c>
      <c r="K254" s="109" t="s">
        <v>263</v>
      </c>
      <c r="L254" s="110" t="s">
        <v>510</v>
      </c>
      <c r="M254" s="101"/>
      <c r="N254" s="101"/>
      <c r="O254" s="101"/>
      <c r="P254" s="101"/>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row>
    <row r="255" ht="22.5" hidden="1" customHeight="1">
      <c r="A255" s="103"/>
      <c r="B255" s="27"/>
      <c r="C255" s="23"/>
      <c r="D255" s="23"/>
      <c r="E255" s="27"/>
      <c r="F255" s="23"/>
      <c r="G255" s="99" t="s">
        <v>1047</v>
      </c>
      <c r="H255" s="100" t="str">
        <f t="shared" si="9"/>
        <v>https://youtube.com/embed/C2J-2q2bwBs</v>
      </c>
      <c r="I255" s="15" t="s">
        <v>1048</v>
      </c>
      <c r="J255" s="17" t="str">
        <f>IFERROR(__xludf.DUMMYFUNCTION("CONCATENATE(""CLASE 0"",REGEXEXTRACT(G255,""[\d]+""))"),"CLASE 02")</f>
        <v>CLASE 02</v>
      </c>
      <c r="K255" s="109" t="s">
        <v>263</v>
      </c>
      <c r="L255" s="27"/>
      <c r="M255" s="101"/>
      <c r="N255" s="101"/>
      <c r="O255" s="101"/>
      <c r="P255" s="101"/>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row>
    <row r="256" ht="22.5" hidden="1" customHeight="1">
      <c r="A256" s="103" t="s">
        <v>1049</v>
      </c>
      <c r="B256" s="97" t="s">
        <v>76</v>
      </c>
      <c r="C256" s="98" t="s">
        <v>77</v>
      </c>
      <c r="D256" s="98" t="s">
        <v>77</v>
      </c>
      <c r="E256" s="13" t="s">
        <v>62</v>
      </c>
      <c r="F256" s="98" t="s">
        <v>77</v>
      </c>
      <c r="G256" s="105"/>
      <c r="H256" s="107" t="s">
        <v>1039</v>
      </c>
      <c r="I256" s="100" t="s">
        <v>1050</v>
      </c>
      <c r="J256" s="17" t="s">
        <v>170</v>
      </c>
      <c r="K256" s="111" t="s">
        <v>510</v>
      </c>
      <c r="L256" s="110" t="s">
        <v>263</v>
      </c>
      <c r="M256" s="101"/>
      <c r="N256" s="101"/>
      <c r="O256" s="101"/>
      <c r="P256" s="101"/>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row>
    <row r="257" ht="22.5" hidden="1" customHeight="1">
      <c r="A257" s="103"/>
      <c r="B257" s="27"/>
      <c r="C257" s="23"/>
      <c r="D257" s="23"/>
      <c r="E257" s="27"/>
      <c r="F257" s="23"/>
      <c r="G257" s="105"/>
      <c r="H257" s="107" t="s">
        <v>1039</v>
      </c>
      <c r="I257" s="100" t="s">
        <v>1053</v>
      </c>
      <c r="J257" s="17" t="s">
        <v>185</v>
      </c>
      <c r="K257" s="111" t="s">
        <v>510</v>
      </c>
      <c r="L257" s="27"/>
      <c r="M257" s="101"/>
      <c r="N257" s="101"/>
      <c r="O257" s="101"/>
      <c r="P257" s="101"/>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row>
    <row r="258" ht="22.5" hidden="1" customHeight="1">
      <c r="A258" s="112" t="s">
        <v>1054</v>
      </c>
      <c r="B258" s="113" t="s">
        <v>89</v>
      </c>
      <c r="C258" s="98" t="s">
        <v>77</v>
      </c>
      <c r="D258" s="98" t="s">
        <v>77</v>
      </c>
      <c r="E258" s="13" t="s">
        <v>60</v>
      </c>
      <c r="F258" s="98"/>
      <c r="G258" s="101"/>
      <c r="H258" s="100" t="s">
        <v>1056</v>
      </c>
      <c r="I258" s="100" t="s">
        <v>1056</v>
      </c>
      <c r="J258" s="16" t="str">
        <f>"COMIENZA DICIENDO QUE ES EL RESUMEN DEL CURSO " &amp; B258 &amp; " DE EDUMIN, LUEGO HAZ EL RESUMEN Y FINALIZA INVITANDO A VER EL RESTO DE RECURSOS DE LAS ZONAS DE EDUMIN."</f>
        <v>COMIENZA DICIENDO QUE ES EL RESUMEN DEL CURSO GESTIÓN DE LA ENERGÍA EN OPERACIONES MINERAS DE EDUMIN, LUEGO HAZ EL RESUMEN Y FINALIZA INVITANDO A VER EL RESTO DE RECURSOS DE LAS ZONAS DE EDUMIN.</v>
      </c>
      <c r="K258" s="17" t="s">
        <v>114</v>
      </c>
      <c r="L258" s="101"/>
      <c r="M258" s="101"/>
      <c r="N258" s="101"/>
      <c r="O258" s="101"/>
      <c r="P258" s="101"/>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row>
    <row r="259" ht="22.5" hidden="1" customHeight="1">
      <c r="A259" s="103"/>
      <c r="B259" s="27"/>
      <c r="C259" s="23"/>
      <c r="D259" s="23"/>
      <c r="E259" s="27"/>
      <c r="F259" s="23"/>
      <c r="G259" s="101"/>
      <c r="H259" s="100" t="s">
        <v>1058</v>
      </c>
      <c r="I259" s="100" t="s">
        <v>1058</v>
      </c>
      <c r="J259" s="114"/>
      <c r="K259" s="17" t="s">
        <v>114</v>
      </c>
      <c r="L259" s="101"/>
      <c r="M259" s="101"/>
      <c r="N259" s="101"/>
      <c r="O259" s="101"/>
      <c r="P259" s="101"/>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row>
    <row r="260" ht="22.5" hidden="1" customHeight="1">
      <c r="A260" s="115" t="s">
        <v>1060</v>
      </c>
      <c r="B260" s="97" t="s">
        <v>49</v>
      </c>
      <c r="C260" s="98" t="s">
        <v>77</v>
      </c>
      <c r="D260" s="98"/>
      <c r="E260" s="13" t="s">
        <v>63</v>
      </c>
      <c r="F260" s="98"/>
      <c r="G260" s="105"/>
      <c r="H260" s="100" t="s">
        <v>1061</v>
      </c>
      <c r="I260" s="100" t="s">
        <v>1061</v>
      </c>
      <c r="J260" s="17" t="s">
        <v>170</v>
      </c>
      <c r="K260" s="17" t="s">
        <v>114</v>
      </c>
      <c r="L260" s="93" t="str">
        <f>"COMIENZA DICIENDO QUE ES EL RESUMEN DEL CURSO " &amp; B260 &amp; " DE EDUMIN, LUEGO HAZ EL RESUMEN Y FINALIZA INVITANDO A VER EL RESTO DE RECURSOS DE LAS ZONAS DE EDUMIN."</f>
        <v>COMIENZA DICIENDO QUE ES EL RESUMEN DEL CURSO GESTIÓN DE LA CADENA DE SUMINISTRO EN EMPRESAS MINERAS DE EDUMIN, LUEGO HAZ EL RESUMEN Y FINALIZA INVITANDO A VER EL RESTO DE RECURSOS DE LAS ZONAS DE EDUMIN.</v>
      </c>
      <c r="M260" s="101"/>
      <c r="N260" s="101"/>
      <c r="O260" s="101"/>
      <c r="P260" s="101"/>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row>
    <row r="261" ht="22.5" hidden="1" customHeight="1">
      <c r="A261" s="27"/>
      <c r="B261" s="27"/>
      <c r="C261" s="23"/>
      <c r="D261" s="23"/>
      <c r="E261" s="27"/>
      <c r="F261" s="23"/>
      <c r="G261" s="105"/>
      <c r="H261" s="100" t="s">
        <v>1063</v>
      </c>
      <c r="I261" s="100" t="s">
        <v>1063</v>
      </c>
      <c r="J261" s="17" t="s">
        <v>185</v>
      </c>
      <c r="K261" s="17" t="s">
        <v>114</v>
      </c>
      <c r="L261" s="117"/>
      <c r="M261" s="101"/>
      <c r="N261" s="101"/>
      <c r="O261" s="101"/>
      <c r="P261" s="101"/>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row>
    <row r="262" ht="22.5" hidden="1" customHeight="1">
      <c r="A262" s="118" t="s">
        <v>1064</v>
      </c>
      <c r="B262" s="97" t="s">
        <v>8</v>
      </c>
      <c r="C262" s="98" t="s">
        <v>77</v>
      </c>
      <c r="D262" s="98"/>
      <c r="E262" s="13" t="s">
        <v>63</v>
      </c>
      <c r="F262" s="98"/>
      <c r="G262" s="105"/>
      <c r="H262" s="100" t="s">
        <v>1067</v>
      </c>
      <c r="I262" s="100" t="s">
        <v>1067</v>
      </c>
      <c r="J262" s="17" t="s">
        <v>170</v>
      </c>
      <c r="K262" s="17" t="s">
        <v>114</v>
      </c>
      <c r="L262" s="93" t="str">
        <f>"COMIENZA DICIENDO QUE ES EL RESUMEN DEL CURSO " &amp; B262 &amp; " DE EDUMIN, LUEGO HAZ EL RESUMEN Y FINALIZA INVITANDO A VER EL RESTO DE RECURSOS DE LAS ZONAS DE EDUMIN."</f>
        <v>COMIENZA DICIENDO QUE ES EL RESUMEN DEL CURSO SEGURIDAD Y NORMATIVA EN EL CONTROL DE INVENTARIO Y LOGÍSTICA MINERA DE EDUMIN, LUEGO HAZ EL RESUMEN Y FINALIZA INVITANDO A VER EL RESTO DE RECURSOS DE LAS ZONAS DE EDUMIN.</v>
      </c>
      <c r="M262" s="101"/>
      <c r="N262" s="101"/>
      <c r="O262" s="101"/>
      <c r="P262" s="101"/>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row>
    <row r="263" ht="22.5" hidden="1" customHeight="1">
      <c r="A263" s="27"/>
      <c r="B263" s="27"/>
      <c r="C263" s="23"/>
      <c r="D263" s="23"/>
      <c r="E263" s="27"/>
      <c r="F263" s="23"/>
      <c r="G263" s="105"/>
      <c r="H263" s="100" t="s">
        <v>1069</v>
      </c>
      <c r="I263" s="100" t="s">
        <v>1069</v>
      </c>
      <c r="J263" s="17" t="s">
        <v>185</v>
      </c>
      <c r="K263" s="17" t="s">
        <v>114</v>
      </c>
      <c r="L263" s="117"/>
      <c r="M263" s="101"/>
      <c r="N263" s="101"/>
      <c r="O263" s="101"/>
      <c r="P263" s="101"/>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row>
    <row r="264" ht="22.5" hidden="1" customHeight="1">
      <c r="A264" s="119" t="s">
        <v>1071</v>
      </c>
      <c r="B264" s="97" t="s">
        <v>4</v>
      </c>
      <c r="C264" s="98" t="s">
        <v>77</v>
      </c>
      <c r="D264" s="98" t="s">
        <v>77</v>
      </c>
      <c r="E264" s="13" t="s">
        <v>60</v>
      </c>
      <c r="F264" s="98"/>
      <c r="G264" s="105"/>
      <c r="H264" s="100" t="s">
        <v>1073</v>
      </c>
      <c r="I264" s="100" t="s">
        <v>1073</v>
      </c>
      <c r="J264" s="17" t="s">
        <v>170</v>
      </c>
      <c r="K264" s="111" t="s">
        <v>263</v>
      </c>
      <c r="L264" s="110" t="s">
        <v>263</v>
      </c>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row>
    <row r="265" ht="22.5" hidden="1" customHeight="1">
      <c r="A265" s="103"/>
      <c r="B265" s="27"/>
      <c r="C265" s="23"/>
      <c r="D265" s="23"/>
      <c r="E265" s="27"/>
      <c r="F265" s="23"/>
      <c r="G265" s="105"/>
      <c r="H265" s="100" t="s">
        <v>1074</v>
      </c>
      <c r="I265" s="100" t="s">
        <v>1074</v>
      </c>
      <c r="J265" s="17" t="s">
        <v>185</v>
      </c>
      <c r="K265" s="111" t="s">
        <v>263</v>
      </c>
      <c r="L265" s="27"/>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row>
    <row r="266" ht="22.5" hidden="1" customHeight="1">
      <c r="A266" s="115" t="s">
        <v>1076</v>
      </c>
      <c r="B266" s="97" t="s">
        <v>17</v>
      </c>
      <c r="C266" s="98" t="s">
        <v>77</v>
      </c>
      <c r="D266" s="98" t="s">
        <v>77</v>
      </c>
      <c r="E266" s="13" t="s">
        <v>60</v>
      </c>
      <c r="F266" s="98"/>
      <c r="G266" s="105"/>
      <c r="H266" s="107" t="s">
        <v>1039</v>
      </c>
      <c r="I266" s="100" t="s">
        <v>1077</v>
      </c>
      <c r="J266" s="17" t="s">
        <v>170</v>
      </c>
      <c r="K266" s="121" t="s">
        <v>263</v>
      </c>
      <c r="L266" s="110" t="s">
        <v>263</v>
      </c>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row>
    <row r="267" ht="22.5" hidden="1" customHeight="1">
      <c r="A267" s="27"/>
      <c r="B267" s="27"/>
      <c r="C267" s="23"/>
      <c r="D267" s="23"/>
      <c r="E267" s="27"/>
      <c r="F267" s="23"/>
      <c r="G267" s="105"/>
      <c r="H267" s="107" t="s">
        <v>1039</v>
      </c>
      <c r="I267" s="100" t="s">
        <v>1078</v>
      </c>
      <c r="J267" s="17" t="s">
        <v>185</v>
      </c>
      <c r="K267" s="121" t="s">
        <v>263</v>
      </c>
      <c r="L267" s="27"/>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row>
    <row r="268" ht="22.5" customHeight="1">
      <c r="A268" s="115" t="s">
        <v>1080</v>
      </c>
      <c r="B268" s="97" t="s">
        <v>29</v>
      </c>
      <c r="C268" s="98" t="s">
        <v>77</v>
      </c>
      <c r="D268" s="98" t="s">
        <v>77</v>
      </c>
      <c r="E268" s="13" t="s">
        <v>60</v>
      </c>
      <c r="F268" s="98"/>
      <c r="G268" s="105"/>
      <c r="H268" s="100" t="s">
        <v>1082</v>
      </c>
      <c r="I268" s="100" t="s">
        <v>1082</v>
      </c>
      <c r="J268" s="30" t="str">
        <f>"COMIENZA DICIENDO QUE ES EL RESUMEN DEL CURSO " &amp; B268 &amp; " DE EDUMIN, LUEGO HAZ EL RESUMEN Y FINALIZA INVITANDO A VER EL RESTO DE RECURSOS DE LAS ZONAS DE EDUMIN."</f>
        <v>COMIENZA DICIENDO QUE ES EL RESUMEN DEL CURSO ERGONOMÍA Y DISEÑO DE PUESTOS DE TRABAJO EN LA INDUSTRIA DE EDUMIN, LUEGO HAZ EL RESUMEN Y FINALIZA INVITANDO A VER EL RESTO DE RECURSOS DE LAS ZONAS DE EDUMIN.</v>
      </c>
      <c r="K268" s="17" t="s">
        <v>114</v>
      </c>
      <c r="L268" s="101"/>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row>
    <row r="269" ht="22.5" customHeight="1">
      <c r="A269" s="27"/>
      <c r="B269" s="27"/>
      <c r="C269" s="23"/>
      <c r="D269" s="23"/>
      <c r="E269" s="27"/>
      <c r="F269" s="23"/>
      <c r="G269" s="105"/>
      <c r="H269" s="100" t="s">
        <v>1084</v>
      </c>
      <c r="I269" s="100" t="s">
        <v>1084</v>
      </c>
      <c r="J269" s="122"/>
      <c r="K269" s="17" t="s">
        <v>114</v>
      </c>
      <c r="L269" s="101"/>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row>
    <row r="270" ht="22.5" hidden="1" customHeight="1">
      <c r="A270" s="118" t="s">
        <v>1085</v>
      </c>
      <c r="B270" s="97" t="s">
        <v>12</v>
      </c>
      <c r="C270" s="98" t="s">
        <v>77</v>
      </c>
      <c r="D270" s="98" t="s">
        <v>77</v>
      </c>
      <c r="E270" s="13" t="s">
        <v>60</v>
      </c>
      <c r="F270" s="98"/>
      <c r="G270" s="105"/>
      <c r="H270" s="100" t="s">
        <v>1087</v>
      </c>
      <c r="I270" s="100" t="s">
        <v>1087</v>
      </c>
      <c r="J270" s="17" t="s">
        <v>170</v>
      </c>
      <c r="K270" s="121" t="s">
        <v>263</v>
      </c>
      <c r="L270" s="110" t="s">
        <v>263</v>
      </c>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row>
    <row r="271" ht="22.5" hidden="1" customHeight="1">
      <c r="A271" s="27"/>
      <c r="B271" s="27"/>
      <c r="C271" s="23"/>
      <c r="D271" s="23"/>
      <c r="E271" s="27"/>
      <c r="F271" s="23"/>
      <c r="G271" s="105"/>
      <c r="H271" s="100" t="s">
        <v>1088</v>
      </c>
      <c r="I271" s="100" t="s">
        <v>1088</v>
      </c>
      <c r="J271" s="17" t="s">
        <v>185</v>
      </c>
      <c r="K271" s="121" t="s">
        <v>263</v>
      </c>
      <c r="L271" s="27"/>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row>
    <row r="272" ht="22.5" hidden="1" customHeight="1">
      <c r="A272" s="115" t="s">
        <v>1090</v>
      </c>
      <c r="B272" s="97" t="s">
        <v>102</v>
      </c>
      <c r="C272" s="98" t="s">
        <v>77</v>
      </c>
      <c r="D272" s="98" t="s">
        <v>77</v>
      </c>
      <c r="E272" s="13" t="s">
        <v>60</v>
      </c>
      <c r="F272" s="98"/>
      <c r="G272" s="105"/>
      <c r="H272" s="100" t="s">
        <v>1091</v>
      </c>
      <c r="I272" s="100" t="s">
        <v>1091</v>
      </c>
      <c r="J272" s="16" t="str">
        <f>"COMIENZA DICIENDO QUE ES EL RESUMEN DEL CURSO " &amp; B272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K272" s="18" t="s">
        <v>114</v>
      </c>
      <c r="L272" s="60" t="str">
        <f>"COMIENZA DICIENDO QUE ES EL RESUMEN DEL CURSO " &amp; B272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row>
    <row r="273" ht="22.5" hidden="1" customHeight="1">
      <c r="A273" s="27"/>
      <c r="B273" s="27"/>
      <c r="C273" s="23"/>
      <c r="D273" s="23"/>
      <c r="E273" s="27"/>
      <c r="F273" s="27"/>
      <c r="G273" s="105"/>
      <c r="H273" s="100" t="s">
        <v>1093</v>
      </c>
      <c r="I273" s="100" t="s">
        <v>1093</v>
      </c>
      <c r="J273" s="17" t="s">
        <v>185</v>
      </c>
      <c r="K273" s="18" t="s">
        <v>114</v>
      </c>
      <c r="L273" s="125"/>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row>
    <row r="274" ht="22.5" customHeight="1">
      <c r="A274" s="126"/>
      <c r="B274" s="127"/>
      <c r="C274" s="128"/>
      <c r="D274" s="128"/>
      <c r="E274" s="128"/>
      <c r="F274" s="128"/>
      <c r="G274" s="129"/>
      <c r="H274" s="126"/>
      <c r="I274" s="63"/>
      <c r="J274" s="130"/>
      <c r="K274" s="131"/>
      <c r="L274" s="132"/>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row>
    <row r="275" ht="22.5" customHeight="1">
      <c r="A275" s="126"/>
      <c r="B275" s="127"/>
      <c r="C275" s="128"/>
      <c r="D275" s="128"/>
      <c r="E275" s="128"/>
      <c r="F275" s="128"/>
      <c r="G275" s="129"/>
      <c r="H275" s="126"/>
      <c r="I275" s="63"/>
      <c r="J275" s="130"/>
      <c r="K275" s="131"/>
      <c r="L275" s="132"/>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row>
    <row r="276" ht="22.5" customHeight="1">
      <c r="A276" s="126"/>
      <c r="B276" s="127"/>
      <c r="C276" s="128"/>
      <c r="D276" s="128"/>
      <c r="E276" s="128"/>
      <c r="F276" s="128"/>
      <c r="G276" s="129"/>
      <c r="H276" s="126"/>
      <c r="I276" s="63"/>
      <c r="J276" s="130"/>
      <c r="K276" s="131"/>
      <c r="L276" s="132"/>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row>
    <row r="277" ht="22.5" customHeight="1">
      <c r="A277" s="126"/>
      <c r="B277" s="127"/>
      <c r="C277" s="128"/>
      <c r="D277" s="128"/>
      <c r="E277" s="128"/>
      <c r="F277" s="128"/>
      <c r="G277" s="129"/>
      <c r="H277" s="126"/>
      <c r="I277" s="63"/>
      <c r="J277" s="130"/>
      <c r="K277" s="131"/>
      <c r="L277" s="132"/>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row>
    <row r="278" ht="22.5" hidden="1" customHeight="1">
      <c r="A278" s="93" t="str">
        <f>ROW(A76)&amp;"- "&amp;B278</f>
        <v>76- MINERÍA VERDE: PRÁCTICAS SOSTENIBLES Y RESPONSABLES</v>
      </c>
      <c r="B278" s="134" t="s">
        <v>64</v>
      </c>
      <c r="C278" s="98"/>
      <c r="D278" s="98"/>
      <c r="E278" s="98"/>
      <c r="F278" s="98"/>
      <c r="G278" s="135"/>
      <c r="H278" s="93"/>
      <c r="I278" s="63"/>
      <c r="J278" s="136"/>
      <c r="K278" s="137"/>
      <c r="L278" s="138"/>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row>
    <row r="279" ht="22.5" hidden="1" customHeight="1">
      <c r="A279" s="93"/>
      <c r="B279" s="134"/>
      <c r="C279" s="27"/>
      <c r="D279" s="27"/>
      <c r="E279" s="27"/>
      <c r="F279" s="27"/>
      <c r="G279" s="135"/>
      <c r="H279" s="93"/>
      <c r="I279" s="63"/>
      <c r="J279" s="136"/>
      <c r="K279" s="137"/>
      <c r="L279" s="138"/>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row>
    <row r="280" ht="22.5" hidden="1" customHeight="1">
      <c r="A280" s="93" t="str">
        <f>ROW(A77)&amp;"- "&amp;B280</f>
        <v>77- EMPRENDIMIENTO Y CREACIÓN DE STARTUPS EXITOSAS</v>
      </c>
      <c r="B280" s="134" t="s">
        <v>78</v>
      </c>
      <c r="C280" s="98"/>
      <c r="D280" s="98"/>
      <c r="E280" s="98"/>
      <c r="F280" s="98"/>
      <c r="G280" s="135"/>
      <c r="H280" s="93"/>
      <c r="I280" s="63"/>
      <c r="J280" s="136"/>
      <c r="K280" s="137"/>
      <c r="L280" s="138"/>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row>
    <row r="281" ht="22.5" hidden="1" customHeight="1">
      <c r="A281" s="93"/>
      <c r="B281" s="134"/>
      <c r="C281" s="27"/>
      <c r="D281" s="27"/>
      <c r="E281" s="27"/>
      <c r="F281" s="27"/>
      <c r="G281" s="135"/>
      <c r="H281" s="93"/>
      <c r="I281" s="63"/>
      <c r="J281" s="136"/>
      <c r="K281" s="137"/>
      <c r="L281" s="138"/>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row>
    <row r="282" ht="22.5" hidden="1" customHeight="1">
      <c r="A282" s="93" t="str">
        <f>ROW(A78)&amp;"- "&amp;B282</f>
        <v>78- MANTENIMIENTO PREDICTIVO Y PREVENTIVO EN EQUIPOS INDUSTRIALES</v>
      </c>
      <c r="B282" s="134" t="s">
        <v>18</v>
      </c>
      <c r="C282" s="98"/>
      <c r="D282" s="98"/>
      <c r="E282" s="98"/>
      <c r="F282" s="98"/>
      <c r="G282" s="135"/>
      <c r="H282" s="93"/>
      <c r="I282" s="63"/>
      <c r="J282" s="136"/>
      <c r="K282" s="137"/>
      <c r="L282" s="138"/>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row>
    <row r="283" ht="22.5" hidden="1" customHeight="1">
      <c r="A283" s="93"/>
      <c r="B283" s="134"/>
      <c r="C283" s="27"/>
      <c r="D283" s="27"/>
      <c r="E283" s="27"/>
      <c r="F283" s="27"/>
      <c r="G283" s="135"/>
      <c r="H283" s="93"/>
      <c r="I283" s="63"/>
      <c r="J283" s="136"/>
      <c r="K283" s="137"/>
      <c r="L283" s="138"/>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row>
    <row r="284" ht="22.5" hidden="1" customHeight="1">
      <c r="A284" s="93" t="str">
        <f>ROW(A79)&amp;"- "&amp;B284</f>
        <v>79- PSICOLOGÍA ORGANIZACIONAL Y GESTIÓN DEL CAMBIO</v>
      </c>
      <c r="B284" s="134" t="s">
        <v>79</v>
      </c>
      <c r="C284" s="98"/>
      <c r="D284" s="98"/>
      <c r="E284" s="98"/>
      <c r="F284" s="98"/>
      <c r="G284" s="135"/>
      <c r="H284" s="93"/>
      <c r="I284" s="63"/>
      <c r="J284" s="136"/>
      <c r="K284" s="137"/>
      <c r="L284" s="138"/>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row>
    <row r="285" ht="22.5" hidden="1" customHeight="1">
      <c r="A285" s="93"/>
      <c r="B285" s="134"/>
      <c r="C285" s="27"/>
      <c r="D285" s="27"/>
      <c r="E285" s="27"/>
      <c r="F285" s="27"/>
      <c r="G285" s="135"/>
      <c r="H285" s="93"/>
      <c r="I285" s="63"/>
      <c r="J285" s="136"/>
      <c r="K285" s="137"/>
      <c r="L285" s="138"/>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row>
    <row r="286" ht="22.5" hidden="1" customHeight="1">
      <c r="A286" s="93" t="str">
        <f>ROW(A80)&amp;"- "&amp;B286</f>
        <v>80- GESTIÓN DE RECURSOS HUMANOS Y CLIMA ORGANIZACIONAL EN LA INDUSTRIA</v>
      </c>
      <c r="B286" s="134" t="s">
        <v>13</v>
      </c>
      <c r="C286" s="98"/>
      <c r="D286" s="98"/>
      <c r="E286" s="98"/>
      <c r="F286" s="98"/>
      <c r="G286" s="135"/>
      <c r="H286" s="93"/>
      <c r="I286" s="63"/>
      <c r="J286" s="136"/>
      <c r="K286" s="137"/>
      <c r="L286" s="138"/>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row>
    <row r="287" ht="22.5" hidden="1" customHeight="1">
      <c r="A287" s="93"/>
      <c r="B287" s="134"/>
      <c r="C287" s="27"/>
      <c r="D287" s="27"/>
      <c r="E287" s="27"/>
      <c r="F287" s="27"/>
      <c r="G287" s="135"/>
      <c r="H287" s="93"/>
      <c r="I287" s="63"/>
      <c r="J287" s="136"/>
      <c r="K287" s="137"/>
      <c r="L287" s="138"/>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row>
    <row r="288" ht="22.5" hidden="1" customHeight="1">
      <c r="A288" s="93" t="str">
        <f>ROW(A81)&amp;"- "&amp;B288</f>
        <v>81- IMPLEMENTACIÓN DE SISTEMAS DE GESTIÓN AMBIENTAL SEGÚN ISO 14001 EN MINERÍA</v>
      </c>
      <c r="B288" s="134" t="s">
        <v>6</v>
      </c>
      <c r="C288" s="98"/>
      <c r="D288" s="98"/>
      <c r="E288" s="98"/>
      <c r="F288" s="98"/>
      <c r="G288" s="135"/>
      <c r="H288" s="93"/>
      <c r="I288" s="63"/>
      <c r="J288" s="136"/>
      <c r="K288" s="137"/>
      <c r="L288" s="138"/>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row>
    <row r="289" ht="22.5" hidden="1" customHeight="1">
      <c r="A289" s="93"/>
      <c r="B289" s="134"/>
      <c r="C289" s="27"/>
      <c r="D289" s="27"/>
      <c r="E289" s="27"/>
      <c r="F289" s="27"/>
      <c r="G289" s="135"/>
      <c r="H289" s="93"/>
      <c r="I289" s="63"/>
      <c r="J289" s="136"/>
      <c r="K289" s="137"/>
      <c r="L289" s="138"/>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row>
    <row r="290" ht="22.5" hidden="1" customHeight="1">
      <c r="A290" s="93" t="str">
        <f>ROW(#REF!)&amp;"- "&amp;B290</f>
        <v>#REF!</v>
      </c>
      <c r="B290" s="134" t="s">
        <v>22</v>
      </c>
      <c r="C290" s="98"/>
      <c r="D290" s="98"/>
      <c r="E290" s="98"/>
      <c r="F290" s="98"/>
      <c r="G290" s="135"/>
      <c r="H290" s="93"/>
      <c r="I290" s="63"/>
      <c r="J290" s="136"/>
      <c r="K290" s="137"/>
      <c r="L290" s="138"/>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row>
    <row r="291" ht="22.5" hidden="1" customHeight="1">
      <c r="A291" s="93"/>
      <c r="B291" s="134"/>
      <c r="C291" s="27"/>
      <c r="D291" s="27"/>
      <c r="E291" s="27"/>
      <c r="F291" s="27"/>
      <c r="G291" s="135"/>
      <c r="H291" s="93"/>
      <c r="I291" s="63"/>
      <c r="J291" s="136"/>
      <c r="K291" s="137"/>
      <c r="L291" s="138"/>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row>
    <row r="292" ht="22.5" hidden="1" customHeight="1">
      <c r="A292" s="93" t="str">
        <f>ROW(#REF!)&amp;"- "&amp;B292</f>
        <v>#REF!</v>
      </c>
      <c r="B292" s="134" t="s">
        <v>25</v>
      </c>
      <c r="C292" s="98"/>
      <c r="D292" s="98"/>
      <c r="E292" s="98"/>
      <c r="F292" s="98"/>
      <c r="G292" s="135"/>
      <c r="H292" s="93"/>
      <c r="I292" s="63"/>
      <c r="J292" s="136"/>
      <c r="K292" s="137"/>
      <c r="L292" s="138"/>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row>
    <row r="293" ht="22.5" hidden="1" customHeight="1">
      <c r="A293" s="93"/>
      <c r="B293" s="134"/>
      <c r="C293" s="27"/>
      <c r="D293" s="27"/>
      <c r="E293" s="27"/>
      <c r="F293" s="27"/>
      <c r="G293" s="135"/>
      <c r="H293" s="93"/>
      <c r="I293" s="63"/>
      <c r="J293" s="136"/>
      <c r="K293" s="137"/>
      <c r="L293" s="138"/>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row>
    <row r="294" ht="22.5" hidden="1" customHeight="1">
      <c r="A294" s="93" t="str">
        <f>ROW(#REF!)&amp;"- "&amp;B294</f>
        <v>#REF!</v>
      </c>
      <c r="B294" s="134" t="s">
        <v>80</v>
      </c>
      <c r="C294" s="98"/>
      <c r="D294" s="98"/>
      <c r="E294" s="98"/>
      <c r="F294" s="98"/>
      <c r="G294" s="135"/>
      <c r="H294" s="93"/>
      <c r="I294" s="63"/>
      <c r="J294" s="136"/>
      <c r="K294" s="137"/>
      <c r="L294" s="138"/>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row>
    <row r="295" ht="22.5" hidden="1" customHeight="1">
      <c r="A295" s="93"/>
      <c r="B295" s="134"/>
      <c r="C295" s="27"/>
      <c r="D295" s="27"/>
      <c r="E295" s="27"/>
      <c r="F295" s="27"/>
      <c r="G295" s="135"/>
      <c r="H295" s="93"/>
      <c r="I295" s="63"/>
      <c r="J295" s="136"/>
      <c r="K295" s="137"/>
      <c r="L295" s="138"/>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row>
    <row r="296" ht="22.5" hidden="1" customHeight="1">
      <c r="A296" s="93" t="str">
        <f>ROW(#REF!)&amp;"- "&amp;B296</f>
        <v>#REF!</v>
      </c>
      <c r="B296" s="134" t="s">
        <v>7</v>
      </c>
      <c r="C296" s="98"/>
      <c r="D296" s="98"/>
      <c r="E296" s="98"/>
      <c r="F296" s="98"/>
      <c r="G296" s="135"/>
      <c r="H296" s="93"/>
      <c r="I296" s="63"/>
      <c r="J296" s="136"/>
      <c r="K296" s="137"/>
      <c r="L296" s="138"/>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row>
    <row r="297" ht="22.5" hidden="1" customHeight="1">
      <c r="A297" s="93"/>
      <c r="B297" s="134"/>
      <c r="C297" s="27"/>
      <c r="D297" s="27"/>
      <c r="E297" s="27"/>
      <c r="F297" s="27"/>
      <c r="G297" s="135"/>
      <c r="H297" s="93"/>
      <c r="I297" s="63"/>
      <c r="J297" s="136"/>
      <c r="K297" s="137"/>
      <c r="L297" s="138"/>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row>
    <row r="298" ht="22.5" hidden="1" customHeight="1">
      <c r="A298" s="93" t="str">
        <f>ROW(A82)&amp;"- "&amp;B298</f>
        <v>82- EVALUACIÓN DE IMPACTO AMBIENTAL EN PROYECTOS MINEROS</v>
      </c>
      <c r="B298" s="134" t="s">
        <v>58</v>
      </c>
      <c r="C298" s="98"/>
      <c r="D298" s="98"/>
      <c r="E298" s="98"/>
      <c r="F298" s="98"/>
      <c r="G298" s="135"/>
      <c r="H298" s="93"/>
      <c r="I298" s="63"/>
      <c r="J298" s="136"/>
      <c r="K298" s="137"/>
      <c r="L298" s="138"/>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row>
    <row r="299" ht="22.5" hidden="1" customHeight="1">
      <c r="A299" s="93"/>
      <c r="B299" s="134"/>
      <c r="C299" s="27"/>
      <c r="D299" s="27"/>
      <c r="E299" s="27"/>
      <c r="F299" s="27"/>
      <c r="G299" s="135"/>
      <c r="H299" s="93"/>
      <c r="I299" s="63"/>
      <c r="J299" s="136"/>
      <c r="K299" s="137"/>
      <c r="L299" s="138"/>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row>
    <row r="300" ht="22.5" hidden="1" customHeight="1">
      <c r="A300" s="93" t="str">
        <f>ROW(A83)&amp;"- "&amp;B300</f>
        <v>83- LEAN MANUFACTURING: MEJORA CONTINUA EN PROCESOS INDUSTRIALES</v>
      </c>
      <c r="B300" s="134" t="s">
        <v>21</v>
      </c>
      <c r="C300" s="98"/>
      <c r="D300" s="98"/>
      <c r="E300" s="98"/>
      <c r="F300" s="98"/>
      <c r="G300" s="135"/>
      <c r="H300" s="93"/>
      <c r="I300" s="63"/>
      <c r="J300" s="136"/>
      <c r="K300" s="137"/>
      <c r="L300" s="138"/>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row>
    <row r="301" ht="22.5" hidden="1" customHeight="1">
      <c r="A301" s="93"/>
      <c r="B301" s="134"/>
      <c r="C301" s="27"/>
      <c r="D301" s="27"/>
      <c r="E301" s="27"/>
      <c r="F301" s="27"/>
      <c r="G301" s="135"/>
      <c r="H301" s="93"/>
      <c r="I301" s="63"/>
      <c r="J301" s="136"/>
      <c r="K301" s="137"/>
      <c r="L301" s="138"/>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row>
    <row r="302" ht="22.5" hidden="1" customHeight="1">
      <c r="A302" s="93" t="str">
        <f>ROW(A84)&amp;"- "&amp;B302</f>
        <v>84- GESTIÓN DE RECURSOS HUMANOS Y DESARROLLO DEL TALENTO</v>
      </c>
      <c r="B302" s="134" t="s">
        <v>61</v>
      </c>
      <c r="C302" s="98"/>
      <c r="D302" s="98"/>
      <c r="E302" s="98"/>
      <c r="F302" s="98"/>
      <c r="G302" s="135"/>
      <c r="H302" s="93"/>
      <c r="I302" s="63"/>
      <c r="J302" s="136"/>
      <c r="K302" s="137"/>
      <c r="L302" s="138"/>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row>
    <row r="303" ht="22.5" hidden="1" customHeight="1">
      <c r="A303" s="60"/>
      <c r="B303" s="60"/>
      <c r="C303" s="27"/>
      <c r="D303" s="27"/>
      <c r="E303" s="27"/>
      <c r="F303" s="27"/>
      <c r="G303" s="135"/>
      <c r="H303" s="93"/>
      <c r="I303" s="63"/>
      <c r="J303" s="136"/>
      <c r="K303" s="137"/>
      <c r="L303" s="138"/>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row>
    <row r="304" ht="22.5" hidden="1" customHeight="1">
      <c r="A304" s="142"/>
      <c r="B304" s="102"/>
      <c r="C304" s="102"/>
      <c r="D304" s="102"/>
      <c r="E304" s="102"/>
      <c r="F304" s="102"/>
      <c r="G304" s="143"/>
      <c r="H304" s="142"/>
      <c r="I304" s="63"/>
      <c r="J304" s="142"/>
      <c r="K304" s="144"/>
      <c r="L304" s="145"/>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row>
    <row r="305" ht="22.5" hidden="1" customHeight="1">
      <c r="A305" s="142"/>
      <c r="B305" s="102"/>
      <c r="C305" s="102"/>
      <c r="D305" s="102"/>
      <c r="E305" s="102"/>
      <c r="F305" s="102"/>
      <c r="G305" s="143"/>
      <c r="H305" s="142"/>
      <c r="I305" s="63"/>
      <c r="J305" s="142"/>
      <c r="K305" s="144"/>
      <c r="L305" s="145"/>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row>
    <row r="306" ht="22.5" hidden="1" customHeight="1">
      <c r="A306" s="142"/>
      <c r="B306" s="102"/>
      <c r="C306" s="102"/>
      <c r="D306" s="102"/>
      <c r="E306" s="102"/>
      <c r="F306" s="102"/>
      <c r="G306" s="143"/>
      <c r="H306" s="142"/>
      <c r="I306" s="63" t="s">
        <v>1107</v>
      </c>
      <c r="J306" s="33"/>
      <c r="K306" s="144"/>
      <c r="L306" s="145"/>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row>
  </sheetData>
  <autoFilter ref="$A$1:$K$273">
    <filterColumn colId="2">
      <filters>
        <filter val="Si"/>
        <filter val="No subir"/>
      </filters>
    </filterColumn>
    <filterColumn colId="4">
      <filters>
        <filter val="GEO MINERA/ GESTIÓN AMBIENTAL SOSTENIBLE"/>
        <filter val="SEGURIDAD Y MINERÍA INTELIGENTE"/>
      </filters>
    </filterColumn>
  </autoFilter>
  <customSheetViews>
    <customSheetView guid="{3C61FA8E-E23C-437E-A261-9905FC879972}" filter="1" showAutoFilter="1">
      <autoFilter ref="$A$1:$S$277">
        <filterColumn colId="2">
          <filters>
            <filter val="Si"/>
          </filters>
        </filterColumn>
        <filterColumn colId="3">
          <filters blank="1"/>
        </filterColumn>
      </autoFilter>
    </customSheetView>
  </customSheetViews>
  <mergeCells count="498">
    <mergeCell ref="B78:B81"/>
    <mergeCell ref="C78:C81"/>
    <mergeCell ref="B82:B85"/>
    <mergeCell ref="C82:C85"/>
    <mergeCell ref="D82:D85"/>
    <mergeCell ref="E82:E85"/>
    <mergeCell ref="F82:F85"/>
    <mergeCell ref="A82:A85"/>
    <mergeCell ref="A86:A89"/>
    <mergeCell ref="B86:B89"/>
    <mergeCell ref="C86:C89"/>
    <mergeCell ref="D86:D89"/>
    <mergeCell ref="E86:E89"/>
    <mergeCell ref="F86:F89"/>
    <mergeCell ref="D6:D9"/>
    <mergeCell ref="E6:E9"/>
    <mergeCell ref="D10:D13"/>
    <mergeCell ref="E10:E13"/>
    <mergeCell ref="F10:F13"/>
    <mergeCell ref="D14:D17"/>
    <mergeCell ref="E14:E17"/>
    <mergeCell ref="F14:F17"/>
    <mergeCell ref="A2:A5"/>
    <mergeCell ref="B2:B5"/>
    <mergeCell ref="C2:C5"/>
    <mergeCell ref="D2:D5"/>
    <mergeCell ref="E2:E5"/>
    <mergeCell ref="F2:F5"/>
    <mergeCell ref="A6:A9"/>
    <mergeCell ref="F6:F9"/>
    <mergeCell ref="A14:A17"/>
    <mergeCell ref="A18:A21"/>
    <mergeCell ref="B18:B21"/>
    <mergeCell ref="C18:C21"/>
    <mergeCell ref="D18:D21"/>
    <mergeCell ref="E18:E21"/>
    <mergeCell ref="F18:F21"/>
    <mergeCell ref="B6:B9"/>
    <mergeCell ref="C6:C9"/>
    <mergeCell ref="A10:A13"/>
    <mergeCell ref="B10:B13"/>
    <mergeCell ref="C10:C13"/>
    <mergeCell ref="B14:B17"/>
    <mergeCell ref="C14:C17"/>
    <mergeCell ref="A22:A25"/>
    <mergeCell ref="B22:B25"/>
    <mergeCell ref="C22:C25"/>
    <mergeCell ref="D22:D25"/>
    <mergeCell ref="E22:E25"/>
    <mergeCell ref="F22:F25"/>
    <mergeCell ref="A26:A29"/>
    <mergeCell ref="F26:F29"/>
    <mergeCell ref="A34:A37"/>
    <mergeCell ref="A38:A41"/>
    <mergeCell ref="B38:B41"/>
    <mergeCell ref="C38:C41"/>
    <mergeCell ref="D38:D41"/>
    <mergeCell ref="E38:E41"/>
    <mergeCell ref="F38:F41"/>
    <mergeCell ref="B94:B97"/>
    <mergeCell ref="C94:C97"/>
    <mergeCell ref="F94:F97"/>
    <mergeCell ref="D26:D29"/>
    <mergeCell ref="E26:E29"/>
    <mergeCell ref="D30:D33"/>
    <mergeCell ref="E30:E33"/>
    <mergeCell ref="F30:F33"/>
    <mergeCell ref="D34:D37"/>
    <mergeCell ref="E34:E37"/>
    <mergeCell ref="F34:F37"/>
    <mergeCell ref="B26:B29"/>
    <mergeCell ref="C26:C29"/>
    <mergeCell ref="A30:A33"/>
    <mergeCell ref="B30:B33"/>
    <mergeCell ref="C30:C33"/>
    <mergeCell ref="B34:B37"/>
    <mergeCell ref="C34:C37"/>
    <mergeCell ref="D46:D49"/>
    <mergeCell ref="E46:E49"/>
    <mergeCell ref="A42:A45"/>
    <mergeCell ref="B42:B45"/>
    <mergeCell ref="C42:C45"/>
    <mergeCell ref="D42:D45"/>
    <mergeCell ref="E42:E45"/>
    <mergeCell ref="F42:F45"/>
    <mergeCell ref="A46:A49"/>
    <mergeCell ref="F46:F49"/>
    <mergeCell ref="B46:B49"/>
    <mergeCell ref="C46:C49"/>
    <mergeCell ref="B50:B53"/>
    <mergeCell ref="C50:C53"/>
    <mergeCell ref="D50:D53"/>
    <mergeCell ref="E50:E53"/>
    <mergeCell ref="F50:F53"/>
    <mergeCell ref="A50:A53"/>
    <mergeCell ref="A54:A57"/>
    <mergeCell ref="B54:B57"/>
    <mergeCell ref="C54:C57"/>
    <mergeCell ref="D54:D57"/>
    <mergeCell ref="E54:E57"/>
    <mergeCell ref="F54:F57"/>
    <mergeCell ref="D62:D65"/>
    <mergeCell ref="E62:E65"/>
    <mergeCell ref="A58:A61"/>
    <mergeCell ref="B58:B61"/>
    <mergeCell ref="C58:C61"/>
    <mergeCell ref="D58:D61"/>
    <mergeCell ref="E58:E61"/>
    <mergeCell ref="F58:F61"/>
    <mergeCell ref="A62:A65"/>
    <mergeCell ref="F62:F65"/>
    <mergeCell ref="B62:B65"/>
    <mergeCell ref="C62:C65"/>
    <mergeCell ref="B66:B69"/>
    <mergeCell ref="C66:C69"/>
    <mergeCell ref="D66:D69"/>
    <mergeCell ref="E66:E69"/>
    <mergeCell ref="F66:F69"/>
    <mergeCell ref="A66:A69"/>
    <mergeCell ref="A70:A73"/>
    <mergeCell ref="B70:B73"/>
    <mergeCell ref="C70:C73"/>
    <mergeCell ref="D70:D73"/>
    <mergeCell ref="E70:E73"/>
    <mergeCell ref="F70:F73"/>
    <mergeCell ref="D78:D81"/>
    <mergeCell ref="E78:E81"/>
    <mergeCell ref="A74:A77"/>
    <mergeCell ref="B74:B77"/>
    <mergeCell ref="C74:C77"/>
    <mergeCell ref="D74:D77"/>
    <mergeCell ref="E74:E77"/>
    <mergeCell ref="F74:F77"/>
    <mergeCell ref="A78:A81"/>
    <mergeCell ref="F78:F81"/>
    <mergeCell ref="D94:D97"/>
    <mergeCell ref="E94:E97"/>
    <mergeCell ref="A90:A93"/>
    <mergeCell ref="B90:B93"/>
    <mergeCell ref="C90:C93"/>
    <mergeCell ref="D90:D93"/>
    <mergeCell ref="E90:E93"/>
    <mergeCell ref="F90:F93"/>
    <mergeCell ref="A94:A97"/>
    <mergeCell ref="D102:D105"/>
    <mergeCell ref="E102:E105"/>
    <mergeCell ref="D106:D109"/>
    <mergeCell ref="E106:E109"/>
    <mergeCell ref="F106:F109"/>
    <mergeCell ref="D110:D113"/>
    <mergeCell ref="E110:E113"/>
    <mergeCell ref="F110:F113"/>
    <mergeCell ref="A98:A101"/>
    <mergeCell ref="B98:B101"/>
    <mergeCell ref="C98:C101"/>
    <mergeCell ref="D98:D101"/>
    <mergeCell ref="E98:E101"/>
    <mergeCell ref="F98:F101"/>
    <mergeCell ref="A102:A105"/>
    <mergeCell ref="F102:F105"/>
    <mergeCell ref="B110:B113"/>
    <mergeCell ref="B114:B117"/>
    <mergeCell ref="C114:C117"/>
    <mergeCell ref="D114:D117"/>
    <mergeCell ref="E114:E117"/>
    <mergeCell ref="F114:F117"/>
    <mergeCell ref="L114:L117"/>
    <mergeCell ref="B118:B121"/>
    <mergeCell ref="C118:C121"/>
    <mergeCell ref="D118:D121"/>
    <mergeCell ref="E118:E121"/>
    <mergeCell ref="F118:F121"/>
    <mergeCell ref="L118:L121"/>
    <mergeCell ref="B102:B105"/>
    <mergeCell ref="C102:C105"/>
    <mergeCell ref="A106:A109"/>
    <mergeCell ref="B106:B109"/>
    <mergeCell ref="C106:C109"/>
    <mergeCell ref="A110:A113"/>
    <mergeCell ref="C110:C113"/>
    <mergeCell ref="C272:C273"/>
    <mergeCell ref="C278:C279"/>
    <mergeCell ref="D278:D279"/>
    <mergeCell ref="E278:E279"/>
    <mergeCell ref="F278:F279"/>
    <mergeCell ref="C280:C281"/>
    <mergeCell ref="D280:D281"/>
    <mergeCell ref="C282:C283"/>
    <mergeCell ref="D282:D283"/>
    <mergeCell ref="E282:E283"/>
    <mergeCell ref="F282:F283"/>
    <mergeCell ref="D284:D285"/>
    <mergeCell ref="E284:E285"/>
    <mergeCell ref="F284:F285"/>
    <mergeCell ref="C290:C291"/>
    <mergeCell ref="D290:D291"/>
    <mergeCell ref="E290:E291"/>
    <mergeCell ref="F290:F291"/>
    <mergeCell ref="D292:D293"/>
    <mergeCell ref="E292:E293"/>
    <mergeCell ref="F292:F293"/>
    <mergeCell ref="C292:C293"/>
    <mergeCell ref="C294:C295"/>
    <mergeCell ref="D294:D295"/>
    <mergeCell ref="E294:E295"/>
    <mergeCell ref="F294:F295"/>
    <mergeCell ref="C296:C297"/>
    <mergeCell ref="D296:D297"/>
    <mergeCell ref="C300:C301"/>
    <mergeCell ref="C302:C303"/>
    <mergeCell ref="D302:D303"/>
    <mergeCell ref="E302:E303"/>
    <mergeCell ref="F302:F303"/>
    <mergeCell ref="C298:C299"/>
    <mergeCell ref="D298:D299"/>
    <mergeCell ref="E298:E299"/>
    <mergeCell ref="F298:F299"/>
    <mergeCell ref="D300:D301"/>
    <mergeCell ref="E300:E301"/>
    <mergeCell ref="F300:F301"/>
    <mergeCell ref="B260:B261"/>
    <mergeCell ref="B264:B265"/>
    <mergeCell ref="C264:C265"/>
    <mergeCell ref="D264:D265"/>
    <mergeCell ref="E264:E265"/>
    <mergeCell ref="F264:F265"/>
    <mergeCell ref="C258:C259"/>
    <mergeCell ref="D258:D259"/>
    <mergeCell ref="A260:A261"/>
    <mergeCell ref="C260:C261"/>
    <mergeCell ref="D260:D261"/>
    <mergeCell ref="A262:A263"/>
    <mergeCell ref="D262:D263"/>
    <mergeCell ref="D268:D269"/>
    <mergeCell ref="E268:E269"/>
    <mergeCell ref="D270:D271"/>
    <mergeCell ref="E270:E271"/>
    <mergeCell ref="F270:F271"/>
    <mergeCell ref="D272:D273"/>
    <mergeCell ref="E272:E273"/>
    <mergeCell ref="F272:F273"/>
    <mergeCell ref="A266:A267"/>
    <mergeCell ref="B266:B267"/>
    <mergeCell ref="C266:C267"/>
    <mergeCell ref="D266:D267"/>
    <mergeCell ref="E266:E267"/>
    <mergeCell ref="F266:F267"/>
    <mergeCell ref="A268:A269"/>
    <mergeCell ref="F268:F269"/>
    <mergeCell ref="B268:B269"/>
    <mergeCell ref="C268:C269"/>
    <mergeCell ref="A270:A271"/>
    <mergeCell ref="B270:B271"/>
    <mergeCell ref="C270:C271"/>
    <mergeCell ref="A272:A273"/>
    <mergeCell ref="B272:B273"/>
    <mergeCell ref="E280:E281"/>
    <mergeCell ref="F280:F281"/>
    <mergeCell ref="E296:E297"/>
    <mergeCell ref="F296:F297"/>
    <mergeCell ref="D126:D129"/>
    <mergeCell ref="E126:E129"/>
    <mergeCell ref="D130:D133"/>
    <mergeCell ref="E130:E133"/>
    <mergeCell ref="F130:F133"/>
    <mergeCell ref="D134:D137"/>
    <mergeCell ref="E134:E137"/>
    <mergeCell ref="F134:F137"/>
    <mergeCell ref="A122:A125"/>
    <mergeCell ref="B122:B125"/>
    <mergeCell ref="C122:C125"/>
    <mergeCell ref="D122:D125"/>
    <mergeCell ref="E122:E125"/>
    <mergeCell ref="F122:F125"/>
    <mergeCell ref="A126:A129"/>
    <mergeCell ref="F126:F129"/>
    <mergeCell ref="B134:B137"/>
    <mergeCell ref="B138:B141"/>
    <mergeCell ref="C138:C141"/>
    <mergeCell ref="D138:D141"/>
    <mergeCell ref="E138:E141"/>
    <mergeCell ref="F138:F141"/>
    <mergeCell ref="B126:B129"/>
    <mergeCell ref="C126:C129"/>
    <mergeCell ref="A130:A133"/>
    <mergeCell ref="B130:B133"/>
    <mergeCell ref="C130:C133"/>
    <mergeCell ref="A134:A137"/>
    <mergeCell ref="C134:C137"/>
    <mergeCell ref="D146:D149"/>
    <mergeCell ref="E146:E149"/>
    <mergeCell ref="D150:D153"/>
    <mergeCell ref="E150:E153"/>
    <mergeCell ref="F150:F153"/>
    <mergeCell ref="L150:L153"/>
    <mergeCell ref="A142:A145"/>
    <mergeCell ref="B142:B145"/>
    <mergeCell ref="C142:C145"/>
    <mergeCell ref="D142:D145"/>
    <mergeCell ref="E142:E145"/>
    <mergeCell ref="F142:F145"/>
    <mergeCell ref="A146:A149"/>
    <mergeCell ref="F146:F149"/>
    <mergeCell ref="E154:E157"/>
    <mergeCell ref="F154:F157"/>
    <mergeCell ref="L158:L161"/>
    <mergeCell ref="B146:B149"/>
    <mergeCell ref="C146:C149"/>
    <mergeCell ref="B150:B153"/>
    <mergeCell ref="C150:C153"/>
    <mergeCell ref="B154:B157"/>
    <mergeCell ref="C154:C157"/>
    <mergeCell ref="D154:D157"/>
    <mergeCell ref="E162:E165"/>
    <mergeCell ref="F162:F165"/>
    <mergeCell ref="E166:E169"/>
    <mergeCell ref="F166:F169"/>
    <mergeCell ref="B158:B161"/>
    <mergeCell ref="C158:C161"/>
    <mergeCell ref="D158:D161"/>
    <mergeCell ref="E158:E161"/>
    <mergeCell ref="F158:F161"/>
    <mergeCell ref="A162:A165"/>
    <mergeCell ref="B162:B165"/>
    <mergeCell ref="C170:C173"/>
    <mergeCell ref="D170:D173"/>
    <mergeCell ref="E170:E173"/>
    <mergeCell ref="F170:F173"/>
    <mergeCell ref="C162:C165"/>
    <mergeCell ref="D162:D165"/>
    <mergeCell ref="B166:B169"/>
    <mergeCell ref="C166:C169"/>
    <mergeCell ref="D166:D169"/>
    <mergeCell ref="A170:A173"/>
    <mergeCell ref="B170:B173"/>
    <mergeCell ref="D178:D181"/>
    <mergeCell ref="E178:E181"/>
    <mergeCell ref="D182:D185"/>
    <mergeCell ref="E182:E185"/>
    <mergeCell ref="F182:F185"/>
    <mergeCell ref="L182:L185"/>
    <mergeCell ref="E186:E189"/>
    <mergeCell ref="F186:F189"/>
    <mergeCell ref="L186:L189"/>
    <mergeCell ref="L190:L193"/>
    <mergeCell ref="D202:D205"/>
    <mergeCell ref="E202:E205"/>
    <mergeCell ref="D206:D209"/>
    <mergeCell ref="E206:E209"/>
    <mergeCell ref="F206:F209"/>
    <mergeCell ref="D210:D213"/>
    <mergeCell ref="E210:E213"/>
    <mergeCell ref="F210:F213"/>
    <mergeCell ref="B202:B205"/>
    <mergeCell ref="C202:C205"/>
    <mergeCell ref="A206:A209"/>
    <mergeCell ref="B206:B209"/>
    <mergeCell ref="C206:C209"/>
    <mergeCell ref="A210:A213"/>
    <mergeCell ref="C210:C213"/>
    <mergeCell ref="A174:A177"/>
    <mergeCell ref="B174:B177"/>
    <mergeCell ref="C174:C177"/>
    <mergeCell ref="D174:D177"/>
    <mergeCell ref="E174:E177"/>
    <mergeCell ref="F174:F177"/>
    <mergeCell ref="A178:A181"/>
    <mergeCell ref="F178:F181"/>
    <mergeCell ref="B178:B181"/>
    <mergeCell ref="C178:C181"/>
    <mergeCell ref="B182:B185"/>
    <mergeCell ref="C182:C185"/>
    <mergeCell ref="B186:B189"/>
    <mergeCell ref="C186:C189"/>
    <mergeCell ref="D186:D189"/>
    <mergeCell ref="D194:D197"/>
    <mergeCell ref="E194:E197"/>
    <mergeCell ref="B190:B193"/>
    <mergeCell ref="C190:C193"/>
    <mergeCell ref="D190:D193"/>
    <mergeCell ref="E190:E193"/>
    <mergeCell ref="F190:F193"/>
    <mergeCell ref="C194:C197"/>
    <mergeCell ref="F194:F197"/>
    <mergeCell ref="B194:B197"/>
    <mergeCell ref="B198:B201"/>
    <mergeCell ref="C198:C201"/>
    <mergeCell ref="D198:D201"/>
    <mergeCell ref="E198:E201"/>
    <mergeCell ref="F198:F201"/>
    <mergeCell ref="A202:A205"/>
    <mergeCell ref="F202:F205"/>
    <mergeCell ref="B210:B213"/>
    <mergeCell ref="B214:B217"/>
    <mergeCell ref="C214:C217"/>
    <mergeCell ref="D214:D217"/>
    <mergeCell ref="E214:E217"/>
    <mergeCell ref="F214:F217"/>
    <mergeCell ref="L214:L217"/>
    <mergeCell ref="C222:C225"/>
    <mergeCell ref="D222:D225"/>
    <mergeCell ref="B218:B221"/>
    <mergeCell ref="C218:C221"/>
    <mergeCell ref="D218:D221"/>
    <mergeCell ref="E218:E221"/>
    <mergeCell ref="F218:F221"/>
    <mergeCell ref="L218:L221"/>
    <mergeCell ref="B222:B225"/>
    <mergeCell ref="L226:L229"/>
    <mergeCell ref="E222:E225"/>
    <mergeCell ref="F222:F225"/>
    <mergeCell ref="B226:B229"/>
    <mergeCell ref="C226:C229"/>
    <mergeCell ref="D226:D229"/>
    <mergeCell ref="E226:E229"/>
    <mergeCell ref="F226:F229"/>
    <mergeCell ref="D234:D237"/>
    <mergeCell ref="E234:E237"/>
    <mergeCell ref="L234:L237"/>
    <mergeCell ref="L238:L241"/>
    <mergeCell ref="B230:B233"/>
    <mergeCell ref="C230:C233"/>
    <mergeCell ref="D230:D233"/>
    <mergeCell ref="E230:E233"/>
    <mergeCell ref="F230:F233"/>
    <mergeCell ref="C234:C237"/>
    <mergeCell ref="F234:F237"/>
    <mergeCell ref="E242:E243"/>
    <mergeCell ref="F242:F243"/>
    <mergeCell ref="E244:E245"/>
    <mergeCell ref="F244:F245"/>
    <mergeCell ref="B234:B237"/>
    <mergeCell ref="B238:B241"/>
    <mergeCell ref="C238:C241"/>
    <mergeCell ref="D238:D241"/>
    <mergeCell ref="E238:E241"/>
    <mergeCell ref="F238:F241"/>
    <mergeCell ref="B242:B243"/>
    <mergeCell ref="C246:C247"/>
    <mergeCell ref="D246:D247"/>
    <mergeCell ref="E246:E247"/>
    <mergeCell ref="F246:F247"/>
    <mergeCell ref="C242:C243"/>
    <mergeCell ref="D242:D243"/>
    <mergeCell ref="B244:B245"/>
    <mergeCell ref="C244:C245"/>
    <mergeCell ref="D244:D245"/>
    <mergeCell ref="A246:A247"/>
    <mergeCell ref="B246:B247"/>
    <mergeCell ref="E250:E251"/>
    <mergeCell ref="F250:F251"/>
    <mergeCell ref="E252:E253"/>
    <mergeCell ref="F252:F253"/>
    <mergeCell ref="E254:E255"/>
    <mergeCell ref="F254:F255"/>
    <mergeCell ref="L254:L255"/>
    <mergeCell ref="L256:L257"/>
    <mergeCell ref="A248:A249"/>
    <mergeCell ref="B248:B249"/>
    <mergeCell ref="C248:C249"/>
    <mergeCell ref="D248:D249"/>
    <mergeCell ref="E248:E249"/>
    <mergeCell ref="F248:F249"/>
    <mergeCell ref="B250:B251"/>
    <mergeCell ref="C250:C251"/>
    <mergeCell ref="D250:D251"/>
    <mergeCell ref="B252:B253"/>
    <mergeCell ref="C252:C253"/>
    <mergeCell ref="D252:D253"/>
    <mergeCell ref="C254:C255"/>
    <mergeCell ref="D254:D255"/>
    <mergeCell ref="E258:E259"/>
    <mergeCell ref="F258:F259"/>
    <mergeCell ref="E260:E261"/>
    <mergeCell ref="F260:F261"/>
    <mergeCell ref="B254:B255"/>
    <mergeCell ref="B256:B257"/>
    <mergeCell ref="C256:C257"/>
    <mergeCell ref="D256:D257"/>
    <mergeCell ref="E256:E257"/>
    <mergeCell ref="F256:F257"/>
    <mergeCell ref="B258:B259"/>
    <mergeCell ref="B262:B263"/>
    <mergeCell ref="C262:C263"/>
    <mergeCell ref="E262:E263"/>
    <mergeCell ref="F262:F263"/>
    <mergeCell ref="L264:L265"/>
    <mergeCell ref="L266:L267"/>
    <mergeCell ref="L270:L271"/>
    <mergeCell ref="E288:E289"/>
    <mergeCell ref="F288:F289"/>
    <mergeCell ref="C284:C285"/>
    <mergeCell ref="C286:C287"/>
    <mergeCell ref="D286:D287"/>
    <mergeCell ref="E286:E287"/>
    <mergeCell ref="F286:F287"/>
    <mergeCell ref="C288:C289"/>
    <mergeCell ref="D288:D289"/>
  </mergeCells>
  <dataValidations>
    <dataValidation type="list" allowBlank="1" sqref="C2:F2 C6:F6 C10:F10 C14:F14 C18:F18 C22:F22 C26:F26 C30:F30 C34:F34 C38:F38 C42:F42 C46:F46 C50:F50 C54:F54 C58:F58 C62:F62 C66:F66 C70:F70 C74:F74 C78:F78 C82:F82 C86:F86 C90:F90 C94:F94 C98:F98 C102:F102 C106:F106 C110:F110 C114:F114 C118:F118 C122:F122 C126:F126 C130:F130 C134:D134 F134 C138:F138 C142:D142 F142 C146:F146 C150:F150 C154:F154 C158:F158 C162:F162 C166:F166 C170:F170 C174:F174 C178:D178 F178 C182:D182 F182 C186:D186 F186 C190:D190 F190 C194:D194 F194 C198:D198 F198 C202:F202 C206:F206 C210:F210 C214:D214 F214 C218:D218 F218 C222:F222 C226:D226 F226 C230:D230 F230 C234:D234 F234 C238:D238 F238 C242:F242 C244:F244 C246:F246 C248:D248 F248 C250:F250 C252:F252 C254:F254 C256:F256 C258:F258 C260:F260 C262:F262 C264:F264 C266:F266 C268:F268 C270:F270 C272:F272 C274:F278 C280:F280 C282:F282 C284:F284 C286:F286 C288:F288 C290:F290 C292:F292 C294:F294 C296:F296 C298:F298 C300:F300 C302:F302">
      <formula1>"Si,No subir,No se matriculará"</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G23"/>
    <hyperlink r:id="rId23" ref="I23"/>
    <hyperlink r:id="rId24" ref="I24"/>
    <hyperlink r:id="rId25" ref="I25"/>
    <hyperlink r:id="rId26" ref="I26"/>
    <hyperlink r:id="rId27" ref="G27"/>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I39"/>
    <hyperlink r:id="rId41" ref="I40"/>
    <hyperlink r:id="rId42" ref="I41"/>
    <hyperlink r:id="rId43" ref="G42"/>
    <hyperlink r:id="rId44" ref="I42"/>
    <hyperlink r:id="rId45" ref="I43"/>
    <hyperlink r:id="rId46" ref="I44"/>
    <hyperlink r:id="rId47" ref="I45"/>
    <hyperlink r:id="rId48" ref="I46"/>
    <hyperlink r:id="rId49" ref="I47"/>
    <hyperlink r:id="rId50" ref="I48"/>
    <hyperlink r:id="rId51" ref="I49"/>
    <hyperlink r:id="rId52" ref="I50"/>
    <hyperlink r:id="rId53" ref="I51"/>
    <hyperlink r:id="rId54" ref="I52"/>
    <hyperlink r:id="rId55" ref="I53"/>
    <hyperlink r:id="rId56" ref="G54"/>
    <hyperlink r:id="rId57" ref="I54"/>
    <hyperlink r:id="rId58" ref="I55"/>
    <hyperlink r:id="rId59" ref="I56"/>
    <hyperlink r:id="rId60" ref="I57"/>
    <hyperlink r:id="rId61" ref="G58"/>
    <hyperlink r:id="rId62" ref="I58"/>
    <hyperlink r:id="rId63" ref="I59"/>
    <hyperlink r:id="rId64" ref="I60"/>
    <hyperlink r:id="rId65" ref="I61"/>
    <hyperlink r:id="rId66" ref="I62"/>
    <hyperlink r:id="rId67" ref="G63"/>
    <hyperlink r:id="rId68" ref="I63"/>
    <hyperlink r:id="rId69" ref="I64"/>
    <hyperlink r:id="rId70" ref="I65"/>
    <hyperlink r:id="rId71" ref="I66"/>
    <hyperlink r:id="rId72" ref="I67"/>
    <hyperlink r:id="rId73" ref="I68"/>
    <hyperlink r:id="rId74" ref="I69"/>
    <hyperlink r:id="rId75" ref="G70"/>
    <hyperlink r:id="rId76" ref="I70"/>
    <hyperlink r:id="rId77" ref="I71"/>
    <hyperlink r:id="rId78" ref="I72"/>
    <hyperlink r:id="rId79" ref="I73"/>
    <hyperlink r:id="rId80" ref="I74"/>
    <hyperlink r:id="rId81" ref="I75"/>
    <hyperlink r:id="rId82" ref="I76"/>
    <hyperlink r:id="rId83" ref="I77"/>
    <hyperlink r:id="rId84" ref="G78"/>
    <hyperlink r:id="rId85" ref="I78"/>
    <hyperlink r:id="rId86" ref="I79"/>
    <hyperlink r:id="rId87" ref="I80"/>
    <hyperlink r:id="rId88" ref="I81"/>
    <hyperlink r:id="rId89" ref="I82"/>
    <hyperlink r:id="rId90" ref="I83"/>
    <hyperlink r:id="rId91" ref="I84"/>
    <hyperlink r:id="rId92" ref="I85"/>
    <hyperlink r:id="rId93" ref="I86"/>
    <hyperlink r:id="rId94" ref="I87"/>
    <hyperlink r:id="rId95" ref="I88"/>
    <hyperlink r:id="rId96" ref="I89"/>
    <hyperlink r:id="rId97" ref="G90"/>
    <hyperlink r:id="rId98" ref="I90"/>
    <hyperlink r:id="rId99" ref="G91"/>
    <hyperlink r:id="rId100" ref="I91"/>
    <hyperlink r:id="rId101" ref="I94"/>
    <hyperlink r:id="rId102" ref="I95"/>
    <hyperlink r:id="rId103" ref="I96"/>
    <hyperlink r:id="rId104" ref="I97"/>
    <hyperlink r:id="rId105" ref="I98"/>
    <hyperlink r:id="rId106" ref="I99"/>
    <hyperlink r:id="rId107" ref="I100"/>
    <hyperlink r:id="rId108" ref="I101"/>
    <hyperlink r:id="rId109" ref="I102"/>
    <hyperlink r:id="rId110" ref="G103"/>
    <hyperlink r:id="rId111" ref="I103"/>
    <hyperlink r:id="rId112" ref="I104"/>
    <hyperlink r:id="rId113" ref="I105"/>
    <hyperlink r:id="rId114" ref="I106"/>
    <hyperlink r:id="rId115" ref="I107"/>
    <hyperlink r:id="rId116" ref="I108"/>
    <hyperlink r:id="rId117" ref="I109"/>
    <hyperlink r:id="rId118" ref="I110"/>
    <hyperlink r:id="rId119" ref="I111"/>
    <hyperlink r:id="rId120" ref="I112"/>
    <hyperlink r:id="rId121" ref="G113"/>
    <hyperlink r:id="rId122" ref="I113"/>
    <hyperlink r:id="rId123" ref="G114"/>
    <hyperlink r:id="rId124" ref="I114"/>
    <hyperlink r:id="rId125" ref="I115"/>
    <hyperlink r:id="rId126" ref="I116"/>
    <hyperlink r:id="rId127" ref="I117"/>
    <hyperlink r:id="rId128" ref="I118"/>
    <hyperlink r:id="rId129" ref="G119"/>
    <hyperlink r:id="rId130" ref="I119"/>
    <hyperlink r:id="rId131" ref="I120"/>
    <hyperlink r:id="rId132" ref="I121"/>
    <hyperlink r:id="rId133" ref="I122"/>
    <hyperlink r:id="rId134" ref="I123"/>
    <hyperlink r:id="rId135" ref="I124"/>
    <hyperlink r:id="rId136" ref="I125"/>
    <hyperlink r:id="rId137" ref="I126"/>
    <hyperlink r:id="rId138" ref="I127"/>
    <hyperlink r:id="rId139" ref="I128"/>
    <hyperlink r:id="rId140" ref="I129"/>
    <hyperlink r:id="rId141" ref="G130"/>
    <hyperlink r:id="rId142" ref="I130"/>
    <hyperlink r:id="rId143" ref="G131"/>
    <hyperlink r:id="rId144" ref="I131"/>
    <hyperlink r:id="rId145" ref="G132"/>
    <hyperlink r:id="rId146" ref="I132"/>
    <hyperlink r:id="rId147" ref="G133"/>
    <hyperlink r:id="rId148" ref="I133"/>
    <hyperlink r:id="rId149" ref="I134"/>
    <hyperlink r:id="rId150" ref="I135"/>
    <hyperlink r:id="rId151" ref="I136"/>
    <hyperlink r:id="rId152" ref="I137"/>
    <hyperlink r:id="rId153" ref="I139"/>
    <hyperlink r:id="rId154" ref="G140"/>
    <hyperlink r:id="rId155" ref="I140"/>
    <hyperlink r:id="rId156" ref="I141"/>
    <hyperlink r:id="rId157" ref="I142"/>
    <hyperlink r:id="rId158" ref="I143"/>
    <hyperlink r:id="rId159" ref="I144"/>
    <hyperlink r:id="rId160" ref="G146"/>
    <hyperlink r:id="rId161" ref="I146"/>
    <hyperlink r:id="rId162" ref="G147"/>
    <hyperlink r:id="rId163" ref="I147"/>
    <hyperlink r:id="rId164" ref="G150"/>
    <hyperlink r:id="rId165" ref="I150"/>
    <hyperlink r:id="rId166" ref="I151"/>
    <hyperlink r:id="rId167" ref="I152"/>
    <hyperlink r:id="rId168" ref="I153"/>
    <hyperlink r:id="rId169" ref="G154"/>
    <hyperlink r:id="rId170" ref="I154"/>
    <hyperlink r:id="rId171" ref="I155"/>
    <hyperlink r:id="rId172" ref="I156"/>
    <hyperlink r:id="rId173" ref="I157"/>
    <hyperlink r:id="rId174" ref="I158"/>
    <hyperlink r:id="rId175" ref="I159"/>
    <hyperlink r:id="rId176" ref="I160"/>
    <hyperlink r:id="rId177" ref="I161"/>
    <hyperlink r:id="rId178" ref="G162"/>
    <hyperlink r:id="rId179" ref="I162"/>
    <hyperlink r:id="rId180" ref="G163"/>
    <hyperlink r:id="rId181" ref="I163"/>
    <hyperlink r:id="rId182" ref="I164"/>
    <hyperlink r:id="rId183" ref="I165"/>
    <hyperlink r:id="rId184" ref="I166"/>
    <hyperlink r:id="rId185" ref="I167"/>
    <hyperlink r:id="rId186" ref="I168"/>
    <hyperlink r:id="rId187" ref="I169"/>
    <hyperlink r:id="rId188" ref="I170"/>
    <hyperlink r:id="rId189" ref="I171"/>
    <hyperlink r:id="rId190" ref="I172"/>
    <hyperlink r:id="rId191" ref="I173"/>
    <hyperlink r:id="rId192" ref="I174"/>
    <hyperlink r:id="rId193" ref="I175"/>
    <hyperlink r:id="rId194" ref="I176"/>
    <hyperlink r:id="rId195" ref="I177"/>
    <hyperlink r:id="rId196" ref="I178"/>
    <hyperlink r:id="rId197" ref="I179"/>
    <hyperlink r:id="rId198" ref="I180"/>
    <hyperlink r:id="rId199" ref="I181"/>
    <hyperlink r:id="rId200" ref="I182"/>
    <hyperlink r:id="rId201" ref="I183"/>
    <hyperlink r:id="rId202" ref="I184"/>
    <hyperlink r:id="rId203" ref="I185"/>
    <hyperlink r:id="rId204" ref="I186"/>
    <hyperlink r:id="rId205" ref="I187"/>
    <hyperlink r:id="rId206" ref="I188"/>
    <hyperlink r:id="rId207" ref="I189"/>
    <hyperlink r:id="rId208" ref="G190"/>
    <hyperlink r:id="rId209" ref="I190"/>
    <hyperlink r:id="rId210" ref="I191"/>
    <hyperlink r:id="rId211" ref="I192"/>
    <hyperlink r:id="rId212" ref="I193"/>
    <hyperlink r:id="rId213" ref="G194"/>
    <hyperlink r:id="rId214" ref="I194"/>
    <hyperlink r:id="rId215" ref="I195"/>
    <hyperlink r:id="rId216" ref="G196"/>
    <hyperlink r:id="rId217" ref="I196"/>
    <hyperlink r:id="rId218" ref="I197"/>
    <hyperlink r:id="rId219" ref="I198"/>
    <hyperlink r:id="rId220" ref="G199"/>
    <hyperlink r:id="rId221" ref="I199"/>
    <hyperlink r:id="rId222" ref="G200"/>
    <hyperlink r:id="rId223" ref="I200"/>
    <hyperlink r:id="rId224" ref="G202"/>
    <hyperlink r:id="rId225" ref="I202"/>
    <hyperlink r:id="rId226" ref="I203"/>
    <hyperlink r:id="rId227" ref="I204"/>
    <hyperlink r:id="rId228" ref="I205"/>
    <hyperlink r:id="rId229" ref="I206"/>
    <hyperlink r:id="rId230" ref="I207"/>
    <hyperlink r:id="rId231" ref="I208"/>
    <hyperlink r:id="rId232" ref="I209"/>
    <hyperlink r:id="rId233" ref="I210"/>
    <hyperlink r:id="rId234" ref="I211"/>
    <hyperlink r:id="rId235" ref="I212"/>
    <hyperlink r:id="rId236" ref="I213"/>
    <hyperlink r:id="rId237" ref="I214"/>
    <hyperlink r:id="rId238" ref="I215"/>
    <hyperlink r:id="rId239" ref="I216"/>
    <hyperlink r:id="rId240" ref="I217"/>
    <hyperlink r:id="rId241" ref="I218"/>
    <hyperlink r:id="rId242" ref="I219"/>
    <hyperlink r:id="rId243" ref="I220"/>
    <hyperlink r:id="rId244" ref="I221"/>
    <hyperlink r:id="rId245" ref="I222"/>
    <hyperlink r:id="rId246" ref="I223"/>
    <hyperlink r:id="rId247" ref="I224"/>
    <hyperlink r:id="rId248" ref="I225"/>
    <hyperlink r:id="rId249" ref="I226"/>
    <hyperlink r:id="rId250" ref="I227"/>
    <hyperlink r:id="rId251" ref="I228"/>
    <hyperlink r:id="rId252" ref="G229"/>
    <hyperlink r:id="rId253" ref="I229"/>
    <hyperlink r:id="rId254" ref="I230"/>
    <hyperlink r:id="rId255" ref="I231"/>
    <hyperlink r:id="rId256" ref="I232"/>
    <hyperlink r:id="rId257" ref="I234"/>
    <hyperlink r:id="rId258" ref="G235"/>
    <hyperlink r:id="rId259" ref="I235"/>
    <hyperlink r:id="rId260" ref="I236"/>
    <hyperlink r:id="rId261" ref="I237"/>
    <hyperlink r:id="rId262" ref="G238"/>
    <hyperlink r:id="rId263" ref="I238"/>
    <hyperlink r:id="rId264" ref="G239"/>
    <hyperlink r:id="rId265" ref="I239"/>
    <hyperlink r:id="rId266" ref="G240"/>
    <hyperlink r:id="rId267" ref="I240"/>
    <hyperlink r:id="rId268" ref="I241"/>
    <hyperlink r:id="rId269" ref="I242"/>
    <hyperlink r:id="rId270" ref="G243"/>
    <hyperlink r:id="rId271" ref="I243"/>
    <hyperlink r:id="rId272" ref="I244"/>
    <hyperlink r:id="rId273" ref="I245"/>
    <hyperlink r:id="rId274" ref="I246"/>
    <hyperlink r:id="rId275" ref="G247"/>
    <hyperlink r:id="rId276" ref="I247"/>
    <hyperlink r:id="rId277" ref="I248"/>
    <hyperlink r:id="rId278" ref="I249"/>
    <hyperlink r:id="rId279" ref="I250"/>
    <hyperlink r:id="rId280" ref="I251"/>
    <hyperlink r:id="rId281" ref="G254"/>
    <hyperlink r:id="rId282" ref="I254"/>
    <hyperlink r:id="rId283" ref="I255"/>
    <hyperlink r:id="rId284" ref="I256"/>
    <hyperlink r:id="rId285" ref="I257"/>
    <hyperlink r:id="rId286" ref="H258"/>
    <hyperlink r:id="rId287" ref="I258"/>
    <hyperlink r:id="rId288" ref="H259"/>
    <hyperlink r:id="rId289" ref="I259"/>
    <hyperlink r:id="rId290" ref="H260"/>
    <hyperlink r:id="rId291" ref="I260"/>
    <hyperlink r:id="rId292" ref="H261"/>
    <hyperlink r:id="rId293" ref="I261"/>
    <hyperlink r:id="rId294" ref="H262"/>
    <hyperlink r:id="rId295" ref="I262"/>
    <hyperlink r:id="rId296" ref="H263"/>
    <hyperlink r:id="rId297" ref="I263"/>
    <hyperlink r:id="rId298" ref="H264"/>
    <hyperlink r:id="rId299" ref="I264"/>
    <hyperlink r:id="rId300" ref="H265"/>
    <hyperlink r:id="rId301" ref="I265"/>
    <hyperlink r:id="rId302" ref="I266"/>
    <hyperlink r:id="rId303" ref="I267"/>
    <hyperlink r:id="rId304" ref="H268"/>
    <hyperlink r:id="rId305" ref="I268"/>
    <hyperlink r:id="rId306" ref="H269"/>
    <hyperlink r:id="rId307" ref="I269"/>
    <hyperlink r:id="rId308" ref="H270"/>
    <hyperlink r:id="rId309" ref="I270"/>
    <hyperlink r:id="rId310" ref="H271"/>
    <hyperlink r:id="rId311" ref="I271"/>
    <hyperlink r:id="rId312" ref="H272"/>
    <hyperlink r:id="rId313" ref="I272"/>
    <hyperlink r:id="rId314" ref="H273"/>
    <hyperlink r:id="rId315" ref="I273"/>
  </hyperlinks>
  <printOptions/>
  <pageMargins bottom="0.75" footer="0.0" header="0.0" left="0.7" right="0.7" top="0.75"/>
  <pageSetup orientation="landscape"/>
  <drawing r:id="rId3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7.5"/>
    <col customWidth="1" min="2" max="2" width="74.0"/>
    <col customWidth="1" hidden="1" min="3" max="3" width="14.5"/>
    <col customWidth="1" hidden="1" min="4" max="4" width="12.88"/>
    <col customWidth="1" hidden="1" min="5" max="5" width="12.0"/>
    <col customWidth="1" hidden="1" min="6" max="6" width="21.5"/>
    <col customWidth="1" hidden="1" min="7" max="7" width="17.75"/>
    <col customWidth="1" hidden="1" min="8" max="8" width="11.5"/>
    <col customWidth="1" hidden="1" min="9" max="9" width="25.5"/>
    <col customWidth="1" min="10" max="10" width="43.25"/>
    <col customWidth="1" min="11" max="11" width="12.25"/>
    <col customWidth="1" min="12" max="12" width="82.25"/>
    <col customWidth="1" min="13" max="13" width="23.88"/>
    <col customWidth="1" min="14" max="14" width="69.0"/>
    <col customWidth="1" min="15" max="15" width="23.88"/>
    <col customWidth="1" min="16" max="16" width="20.88"/>
    <col customWidth="1" min="17" max="17" width="23.25"/>
    <col customWidth="1" min="18" max="18" width="16.13"/>
    <col customWidth="1" min="19" max="19" width="10.63"/>
    <col customWidth="1" min="20" max="20" width="40.5"/>
    <col customWidth="1" min="21" max="21" width="35.0"/>
    <col customWidth="1" min="22" max="39" width="10.63"/>
  </cols>
  <sheetData>
    <row r="1">
      <c r="A1" s="5" t="s">
        <v>20</v>
      </c>
      <c r="B1" s="4" t="s">
        <v>0</v>
      </c>
      <c r="C1" s="5" t="s">
        <v>26</v>
      </c>
      <c r="D1" s="5" t="s">
        <v>108</v>
      </c>
      <c r="E1" s="5" t="s">
        <v>109</v>
      </c>
      <c r="F1" s="5" t="s">
        <v>30</v>
      </c>
      <c r="G1" s="5" t="s">
        <v>31</v>
      </c>
      <c r="H1" s="6" t="s">
        <v>33</v>
      </c>
      <c r="I1" s="7" t="s">
        <v>36</v>
      </c>
      <c r="J1" s="7" t="s">
        <v>38</v>
      </c>
      <c r="K1" s="20" t="s">
        <v>33</v>
      </c>
      <c r="L1" s="22" t="s">
        <v>123</v>
      </c>
      <c r="M1" s="5" t="s">
        <v>39</v>
      </c>
      <c r="N1" s="3" t="s">
        <v>41</v>
      </c>
      <c r="O1" s="8" t="s">
        <v>42</v>
      </c>
      <c r="P1" s="8" t="s">
        <v>44</v>
      </c>
      <c r="Q1" s="8" t="s">
        <v>45</v>
      </c>
      <c r="R1" s="8" t="s">
        <v>46</v>
      </c>
      <c r="S1" s="9" t="s">
        <v>128</v>
      </c>
      <c r="T1" s="10" t="s">
        <v>48</v>
      </c>
      <c r="U1" s="10" t="s">
        <v>50</v>
      </c>
      <c r="V1" s="9" t="s">
        <v>128</v>
      </c>
      <c r="W1" s="9" t="s">
        <v>128</v>
      </c>
      <c r="X1" s="9" t="s">
        <v>128</v>
      </c>
      <c r="Y1" s="9" t="s">
        <v>128</v>
      </c>
      <c r="Z1" s="9" t="s">
        <v>128</v>
      </c>
      <c r="AA1" s="9" t="s">
        <v>128</v>
      </c>
      <c r="AB1" s="9"/>
      <c r="AC1" s="9"/>
      <c r="AD1" s="9"/>
      <c r="AE1" s="9"/>
      <c r="AF1" s="9"/>
      <c r="AG1" s="9"/>
      <c r="AH1" s="9"/>
      <c r="AI1" s="9"/>
      <c r="AJ1" s="9"/>
      <c r="AK1" s="9"/>
      <c r="AL1" s="9"/>
      <c r="AM1" s="9"/>
    </row>
    <row r="2">
      <c r="A2" s="26" t="s">
        <v>56</v>
      </c>
      <c r="B2" s="26" t="str">
        <f>TRIM(MID(A2, SEARCH("- ", A2) + 2, LEN(A2)))
</f>
        <v>MANEJO DE EPPS SEGÚN LA NORMA TÉCNICA PERUANA LEY 29783</v>
      </c>
      <c r="C2" s="13" t="s">
        <v>77</v>
      </c>
      <c r="D2" s="13" t="s">
        <v>77</v>
      </c>
      <c r="E2" s="13" t="s">
        <v>77</v>
      </c>
      <c r="F2" s="13" t="s">
        <v>65</v>
      </c>
      <c r="G2" s="13" t="s">
        <v>77</v>
      </c>
      <c r="H2" s="14" t="s">
        <v>83</v>
      </c>
      <c r="I2" s="15" t="str">
        <f t="shared" ref="I2:I91" si="1">SUBSTITUTE(LEFT(MID(H2,FIND("https",H2),99),FIND("?",H2)-FIND("https",H2)), "/live/", "/embed/")</f>
        <v>https://youtube.com/embed/dJWHecyW_-I</v>
      </c>
      <c r="J2" s="32" t="s">
        <v>94</v>
      </c>
      <c r="K2" s="33" t="s">
        <v>170</v>
      </c>
      <c r="L2" s="34" t="s">
        <v>173</v>
      </c>
      <c r="M2" s="17" t="s">
        <v>114</v>
      </c>
      <c r="N2" s="18"/>
      <c r="O2" s="18" t="s">
        <v>117</v>
      </c>
      <c r="P2" s="18" t="s">
        <v>118</v>
      </c>
      <c r="Q2" s="18" t="s">
        <v>120</v>
      </c>
      <c r="R2" s="18">
        <v>30.0</v>
      </c>
      <c r="S2" s="19"/>
      <c r="T2" s="21" t="s">
        <v>122</v>
      </c>
      <c r="U2" s="21" t="s">
        <v>124</v>
      </c>
      <c r="V2" s="19"/>
      <c r="W2" s="19"/>
      <c r="X2" s="19"/>
      <c r="Y2" s="19"/>
      <c r="Z2" s="19"/>
      <c r="AA2" s="19"/>
      <c r="AB2" s="19"/>
      <c r="AC2" s="19"/>
      <c r="AD2" s="19"/>
      <c r="AE2" s="19"/>
      <c r="AF2" s="19"/>
      <c r="AG2" s="19"/>
      <c r="AH2" s="19"/>
      <c r="AI2" s="19"/>
      <c r="AJ2" s="19"/>
      <c r="AK2" s="19"/>
      <c r="AL2" s="19"/>
      <c r="AM2" s="19"/>
    </row>
    <row r="3">
      <c r="A3" s="23"/>
      <c r="B3" s="23"/>
      <c r="C3" s="23"/>
      <c r="D3" s="23"/>
      <c r="E3" s="23"/>
      <c r="F3" s="23"/>
      <c r="G3" s="23"/>
      <c r="H3" s="14" t="s">
        <v>126</v>
      </c>
      <c r="I3" s="15" t="str">
        <f t="shared" si="1"/>
        <v>https://youtube.com/embed/OXb7rpvAm4I</v>
      </c>
      <c r="J3" s="32" t="s">
        <v>130</v>
      </c>
      <c r="K3" s="33" t="s">
        <v>185</v>
      </c>
      <c r="L3" s="34" t="s">
        <v>186</v>
      </c>
      <c r="M3" s="17" t="s">
        <v>114</v>
      </c>
      <c r="N3" s="18"/>
      <c r="O3" s="18"/>
      <c r="P3" s="18"/>
      <c r="Q3" s="18"/>
      <c r="R3" s="18"/>
      <c r="S3" s="19"/>
      <c r="T3" s="21"/>
      <c r="U3" s="21"/>
      <c r="V3" s="19"/>
      <c r="W3" s="19"/>
      <c r="X3" s="19"/>
      <c r="Y3" s="19"/>
      <c r="Z3" s="19"/>
      <c r="AA3" s="19"/>
      <c r="AB3" s="19"/>
      <c r="AC3" s="19"/>
      <c r="AD3" s="19"/>
      <c r="AE3" s="19"/>
      <c r="AF3" s="19"/>
      <c r="AG3" s="19"/>
      <c r="AH3" s="19"/>
      <c r="AI3" s="19"/>
      <c r="AJ3" s="19"/>
      <c r="AK3" s="19"/>
      <c r="AL3" s="19"/>
      <c r="AM3" s="19"/>
    </row>
    <row r="4">
      <c r="A4" s="23"/>
      <c r="B4" s="23"/>
      <c r="C4" s="23"/>
      <c r="D4" s="23"/>
      <c r="E4" s="23"/>
      <c r="F4" s="23"/>
      <c r="G4" s="23"/>
      <c r="H4" s="14" t="s">
        <v>136</v>
      </c>
      <c r="I4" s="15" t="str">
        <f t="shared" si="1"/>
        <v>https://youtube.com/embed/1lI7DvubMUM</v>
      </c>
      <c r="J4" s="32" t="s">
        <v>140</v>
      </c>
      <c r="K4" s="33" t="s">
        <v>192</v>
      </c>
      <c r="L4" s="34" t="s">
        <v>194</v>
      </c>
      <c r="M4" s="17" t="s">
        <v>114</v>
      </c>
      <c r="N4" s="18"/>
      <c r="O4" s="18"/>
      <c r="P4" s="18"/>
      <c r="Q4" s="18"/>
      <c r="R4" s="18"/>
      <c r="S4" s="19"/>
      <c r="T4" s="21"/>
      <c r="U4" s="21"/>
      <c r="V4" s="19"/>
      <c r="W4" s="19"/>
      <c r="X4" s="19"/>
      <c r="Y4" s="19"/>
      <c r="Z4" s="19"/>
      <c r="AA4" s="19"/>
      <c r="AB4" s="19"/>
      <c r="AC4" s="19"/>
      <c r="AD4" s="19"/>
      <c r="AE4" s="19"/>
      <c r="AF4" s="19"/>
      <c r="AG4" s="19"/>
      <c r="AH4" s="19"/>
      <c r="AI4" s="19"/>
      <c r="AJ4" s="19"/>
      <c r="AK4" s="19"/>
      <c r="AL4" s="19"/>
      <c r="AM4" s="19"/>
    </row>
    <row r="5">
      <c r="A5" s="27"/>
      <c r="B5" s="27"/>
      <c r="C5" s="27"/>
      <c r="D5" s="27"/>
      <c r="E5" s="27"/>
      <c r="F5" s="27"/>
      <c r="G5" s="27"/>
      <c r="H5" s="14" t="s">
        <v>152</v>
      </c>
      <c r="I5" s="15" t="str">
        <f t="shared" si="1"/>
        <v>https://youtube.com/embed/AGtFQ3G1FCU</v>
      </c>
      <c r="J5" s="32" t="s">
        <v>155</v>
      </c>
      <c r="K5" s="33" t="s">
        <v>212</v>
      </c>
      <c r="L5" s="34" t="s">
        <v>213</v>
      </c>
      <c r="M5" s="17" t="s">
        <v>114</v>
      </c>
      <c r="N5" s="18"/>
      <c r="O5" s="18"/>
      <c r="P5" s="18"/>
      <c r="Q5" s="18"/>
      <c r="R5" s="18"/>
      <c r="S5" s="19"/>
      <c r="T5" s="21"/>
      <c r="U5" s="21"/>
      <c r="V5" s="19"/>
      <c r="W5" s="19"/>
      <c r="X5" s="19"/>
      <c r="Y5" s="19"/>
      <c r="Z5" s="19"/>
      <c r="AA5" s="19"/>
      <c r="AB5" s="19"/>
      <c r="AC5" s="19"/>
      <c r="AD5" s="19"/>
      <c r="AE5" s="19"/>
      <c r="AF5" s="19"/>
      <c r="AG5" s="19"/>
      <c r="AH5" s="19"/>
      <c r="AI5" s="19"/>
      <c r="AJ5" s="19"/>
      <c r="AK5" s="19"/>
      <c r="AL5" s="19"/>
      <c r="AM5" s="19"/>
    </row>
    <row r="6">
      <c r="A6" s="28" t="s">
        <v>159</v>
      </c>
      <c r="B6" s="26" t="str">
        <f>TRIM(MID(A6, SEARCH("- ", A6) + 2, LEN(A6)))
</f>
        <v>IMPLEMENTACIÓN DE MEDIDAS DE CONTROL EN RIESGOS MINEROS</v>
      </c>
      <c r="C6" s="13" t="s">
        <v>77</v>
      </c>
      <c r="D6" s="13" t="s">
        <v>77</v>
      </c>
      <c r="E6" s="13" t="s">
        <v>77</v>
      </c>
      <c r="F6" s="13" t="s">
        <v>65</v>
      </c>
      <c r="G6" s="13" t="s">
        <v>77</v>
      </c>
      <c r="H6" s="29" t="s">
        <v>160</v>
      </c>
      <c r="I6" s="15" t="str">
        <f t="shared" si="1"/>
        <v>https://youtube.com/embed/ezIG1eilHYg</v>
      </c>
      <c r="J6" s="32" t="s">
        <v>161</v>
      </c>
      <c r="K6" s="33" t="s">
        <v>170</v>
      </c>
      <c r="L6" s="49" t="s">
        <v>232</v>
      </c>
      <c r="M6" s="17" t="s">
        <v>114</v>
      </c>
      <c r="N6" s="18"/>
      <c r="O6" s="18" t="s">
        <v>164</v>
      </c>
      <c r="P6" s="18" t="s">
        <v>120</v>
      </c>
      <c r="Q6" s="18" t="s">
        <v>165</v>
      </c>
      <c r="R6" s="18">
        <v>30.0</v>
      </c>
      <c r="S6" s="19"/>
      <c r="T6" s="21" t="s">
        <v>122</v>
      </c>
      <c r="U6" s="21" t="s">
        <v>124</v>
      </c>
      <c r="V6" s="19"/>
      <c r="W6" s="19"/>
      <c r="X6" s="19"/>
      <c r="Y6" s="19"/>
      <c r="Z6" s="19"/>
      <c r="AA6" s="19"/>
      <c r="AB6" s="19"/>
      <c r="AC6" s="19"/>
      <c r="AD6" s="19"/>
      <c r="AE6" s="19"/>
      <c r="AF6" s="19"/>
      <c r="AG6" s="19"/>
      <c r="AH6" s="19"/>
      <c r="AI6" s="19"/>
      <c r="AJ6" s="19"/>
      <c r="AK6" s="19"/>
      <c r="AL6" s="19"/>
      <c r="AM6" s="19"/>
    </row>
    <row r="7">
      <c r="A7" s="23"/>
      <c r="B7" s="23"/>
      <c r="C7" s="23"/>
      <c r="D7" s="23"/>
      <c r="E7" s="23"/>
      <c r="F7" s="23"/>
      <c r="G7" s="23"/>
      <c r="H7" s="29" t="s">
        <v>171</v>
      </c>
      <c r="I7" s="15" t="str">
        <f t="shared" si="1"/>
        <v>https://youtube.com/embed/WzfXRcMAedg</v>
      </c>
      <c r="J7" s="32" t="s">
        <v>174</v>
      </c>
      <c r="K7" s="33" t="s">
        <v>185</v>
      </c>
      <c r="L7" s="49" t="s">
        <v>234</v>
      </c>
      <c r="M7" s="17" t="s">
        <v>114</v>
      </c>
      <c r="N7" s="18"/>
      <c r="O7" s="18"/>
      <c r="P7" s="18"/>
      <c r="Q7" s="18"/>
      <c r="R7" s="18"/>
      <c r="S7" s="19"/>
      <c r="T7" s="21"/>
      <c r="U7" s="21"/>
      <c r="V7" s="19"/>
      <c r="W7" s="19"/>
      <c r="X7" s="19"/>
      <c r="Y7" s="19"/>
      <c r="Z7" s="19"/>
      <c r="AA7" s="19"/>
      <c r="AB7" s="19"/>
      <c r="AC7" s="19"/>
      <c r="AD7" s="19"/>
      <c r="AE7" s="19"/>
      <c r="AF7" s="19"/>
      <c r="AG7" s="19"/>
      <c r="AH7" s="19"/>
      <c r="AI7" s="19"/>
      <c r="AJ7" s="19"/>
      <c r="AK7" s="19"/>
      <c r="AL7" s="19"/>
      <c r="AM7" s="19"/>
    </row>
    <row r="8">
      <c r="A8" s="23"/>
      <c r="B8" s="23"/>
      <c r="C8" s="23"/>
      <c r="D8" s="23"/>
      <c r="E8" s="23"/>
      <c r="F8" s="23"/>
      <c r="G8" s="23"/>
      <c r="H8" s="29" t="s">
        <v>181</v>
      </c>
      <c r="I8" s="15" t="str">
        <f t="shared" si="1"/>
        <v>https://youtube.com/embed/l3d1FJjsBnI</v>
      </c>
      <c r="J8" s="32" t="s">
        <v>182</v>
      </c>
      <c r="K8" s="33" t="s">
        <v>192</v>
      </c>
      <c r="L8" s="49" t="s">
        <v>238</v>
      </c>
      <c r="M8" s="17" t="s">
        <v>114</v>
      </c>
      <c r="N8" s="18"/>
      <c r="O8" s="18"/>
      <c r="P8" s="18"/>
      <c r="Q8" s="18"/>
      <c r="R8" s="18"/>
      <c r="S8" s="19"/>
      <c r="T8" s="21"/>
      <c r="U8" s="21"/>
      <c r="V8" s="19"/>
      <c r="W8" s="19"/>
      <c r="X8" s="19"/>
      <c r="Y8" s="19"/>
      <c r="Z8" s="19"/>
      <c r="AA8" s="19"/>
      <c r="AB8" s="19"/>
      <c r="AC8" s="19"/>
      <c r="AD8" s="19"/>
      <c r="AE8" s="19"/>
      <c r="AF8" s="19"/>
      <c r="AG8" s="19"/>
      <c r="AH8" s="19"/>
      <c r="AI8" s="19"/>
      <c r="AJ8" s="19"/>
      <c r="AK8" s="19"/>
      <c r="AL8" s="19"/>
      <c r="AM8" s="19"/>
    </row>
    <row r="9">
      <c r="A9" s="27"/>
      <c r="B9" s="27"/>
      <c r="C9" s="27"/>
      <c r="D9" s="27"/>
      <c r="E9" s="27"/>
      <c r="F9" s="27"/>
      <c r="G9" s="27"/>
      <c r="H9" s="29" t="s">
        <v>183</v>
      </c>
      <c r="I9" s="15" t="str">
        <f t="shared" si="1"/>
        <v>https://youtube.com/embed/iGRxLKNnaT8</v>
      </c>
      <c r="J9" s="15" t="s">
        <v>184</v>
      </c>
      <c r="K9" s="33" t="s">
        <v>212</v>
      </c>
      <c r="L9" s="49" t="s">
        <v>241</v>
      </c>
      <c r="M9" s="17" t="s">
        <v>114</v>
      </c>
      <c r="N9" s="18"/>
      <c r="O9" s="18"/>
      <c r="P9" s="18"/>
      <c r="Q9" s="18"/>
      <c r="R9" s="18"/>
      <c r="S9" s="19"/>
      <c r="T9" s="21"/>
      <c r="U9" s="21"/>
      <c r="V9" s="19"/>
      <c r="W9" s="19"/>
      <c r="X9" s="19"/>
      <c r="Y9" s="19"/>
      <c r="Z9" s="19"/>
      <c r="AA9" s="19"/>
      <c r="AB9" s="19"/>
      <c r="AC9" s="19"/>
      <c r="AD9" s="19"/>
      <c r="AE9" s="19"/>
      <c r="AF9" s="19"/>
      <c r="AG9" s="19"/>
      <c r="AH9" s="19"/>
      <c r="AI9" s="19"/>
      <c r="AJ9" s="19"/>
      <c r="AK9" s="19"/>
      <c r="AL9" s="19"/>
      <c r="AM9" s="19"/>
    </row>
    <row r="10">
      <c r="A10" s="26" t="s">
        <v>188</v>
      </c>
      <c r="B10" s="26" t="str">
        <f>TRIM(MID(A10, SEARCH("- ", A10) + 2, LEN(A10)))
</f>
        <v>ERGONOMÍA Y SALUD OCUPACIONAL EN EL SECTOR MINERO E INDUSTRIAL</v>
      </c>
      <c r="C10" s="13" t="s">
        <v>77</v>
      </c>
      <c r="D10" s="13" t="s">
        <v>77</v>
      </c>
      <c r="E10" s="13" t="s">
        <v>77</v>
      </c>
      <c r="F10" s="13" t="s">
        <v>65</v>
      </c>
      <c r="G10" s="13" t="s">
        <v>77</v>
      </c>
      <c r="H10" s="29" t="s">
        <v>190</v>
      </c>
      <c r="I10" s="15" t="str">
        <f t="shared" si="1"/>
        <v>https://youtube.com/embed/Kwp1T7tc7n0</v>
      </c>
      <c r="J10" s="32" t="s">
        <v>191</v>
      </c>
      <c r="K10" s="33" t="s">
        <v>170</v>
      </c>
      <c r="L10" s="34" t="s">
        <v>254</v>
      </c>
      <c r="M10" s="17" t="s">
        <v>114</v>
      </c>
      <c r="N10" s="18"/>
      <c r="O10" s="18" t="s">
        <v>117</v>
      </c>
      <c r="P10" s="18" t="s">
        <v>118</v>
      </c>
      <c r="Q10" s="18" t="s">
        <v>120</v>
      </c>
      <c r="R10" s="18">
        <v>30.0</v>
      </c>
      <c r="S10" s="19"/>
      <c r="T10" s="21" t="s">
        <v>122</v>
      </c>
      <c r="U10" s="21" t="s">
        <v>124</v>
      </c>
      <c r="V10" s="19"/>
      <c r="W10" s="19"/>
      <c r="X10" s="19"/>
      <c r="Y10" s="19"/>
      <c r="Z10" s="19"/>
      <c r="AA10" s="19"/>
      <c r="AB10" s="19"/>
      <c r="AC10" s="19"/>
      <c r="AD10" s="19"/>
      <c r="AE10" s="19"/>
      <c r="AF10" s="19"/>
      <c r="AG10" s="19"/>
      <c r="AH10" s="19"/>
      <c r="AI10" s="19"/>
      <c r="AJ10" s="19"/>
      <c r="AK10" s="19"/>
      <c r="AL10" s="19"/>
      <c r="AM10" s="19"/>
    </row>
    <row r="11">
      <c r="A11" s="23"/>
      <c r="B11" s="23"/>
      <c r="C11" s="23"/>
      <c r="D11" s="23"/>
      <c r="E11" s="23"/>
      <c r="F11" s="23"/>
      <c r="G11" s="23"/>
      <c r="H11" s="29" t="s">
        <v>205</v>
      </c>
      <c r="I11" s="15" t="str">
        <f t="shared" si="1"/>
        <v>https://youtube.com/embed/-XxNjC5YTWU</v>
      </c>
      <c r="J11" s="32" t="s">
        <v>208</v>
      </c>
      <c r="K11" s="33" t="s">
        <v>185</v>
      </c>
      <c r="L11" s="34" t="s">
        <v>261</v>
      </c>
      <c r="M11" s="17" t="s">
        <v>114</v>
      </c>
      <c r="N11" s="18"/>
      <c r="O11" s="18"/>
      <c r="P11" s="18"/>
      <c r="Q11" s="18"/>
      <c r="R11" s="18"/>
      <c r="S11" s="19"/>
      <c r="T11" s="21"/>
      <c r="U11" s="21"/>
      <c r="V11" s="19"/>
      <c r="W11" s="19"/>
      <c r="X11" s="19"/>
      <c r="Y11" s="19"/>
      <c r="Z11" s="19"/>
      <c r="AA11" s="19"/>
      <c r="AB11" s="19"/>
      <c r="AC11" s="19"/>
      <c r="AD11" s="19"/>
      <c r="AE11" s="19"/>
      <c r="AF11" s="19"/>
      <c r="AG11" s="19"/>
      <c r="AH11" s="19"/>
      <c r="AI11" s="19"/>
      <c r="AJ11" s="19"/>
      <c r="AK11" s="19"/>
      <c r="AL11" s="19"/>
      <c r="AM11" s="19"/>
    </row>
    <row r="12">
      <c r="A12" s="23"/>
      <c r="B12" s="23"/>
      <c r="C12" s="23"/>
      <c r="D12" s="23"/>
      <c r="E12" s="23"/>
      <c r="F12" s="23"/>
      <c r="G12" s="23"/>
      <c r="H12" s="29" t="s">
        <v>222</v>
      </c>
      <c r="I12" s="15" t="str">
        <f t="shared" si="1"/>
        <v>https://youtube.com/embed/UlFAlcui1Iw</v>
      </c>
      <c r="J12" s="32" t="s">
        <v>225</v>
      </c>
      <c r="K12" s="33" t="s">
        <v>192</v>
      </c>
      <c r="L12" s="34" t="s">
        <v>265</v>
      </c>
      <c r="M12" s="17" t="s">
        <v>114</v>
      </c>
      <c r="N12" s="18"/>
      <c r="O12" s="18"/>
      <c r="P12" s="18"/>
      <c r="Q12" s="18"/>
      <c r="R12" s="18"/>
      <c r="S12" s="19"/>
      <c r="T12" s="21"/>
      <c r="U12" s="21"/>
      <c r="V12" s="19"/>
      <c r="W12" s="19"/>
      <c r="X12" s="19"/>
      <c r="Y12" s="19"/>
      <c r="Z12" s="19"/>
      <c r="AA12" s="19"/>
      <c r="AB12" s="19"/>
      <c r="AC12" s="19"/>
      <c r="AD12" s="19"/>
      <c r="AE12" s="19"/>
      <c r="AF12" s="19"/>
      <c r="AG12" s="19"/>
      <c r="AH12" s="19"/>
      <c r="AI12" s="19"/>
      <c r="AJ12" s="19"/>
      <c r="AK12" s="19"/>
      <c r="AL12" s="19"/>
      <c r="AM12" s="19"/>
    </row>
    <row r="13">
      <c r="A13" s="27"/>
      <c r="B13" s="27"/>
      <c r="C13" s="27"/>
      <c r="D13" s="27"/>
      <c r="E13" s="27"/>
      <c r="F13" s="27"/>
      <c r="G13" s="27"/>
      <c r="H13" s="48" t="s">
        <v>230</v>
      </c>
      <c r="I13" s="15" t="str">
        <f t="shared" si="1"/>
        <v>https://youtube.com/embed/424PbUvthZ0</v>
      </c>
      <c r="J13" s="32" t="s">
        <v>231</v>
      </c>
      <c r="K13" s="33" t="s">
        <v>212</v>
      </c>
      <c r="L13" s="34" t="s">
        <v>270</v>
      </c>
      <c r="M13" s="17" t="s">
        <v>114</v>
      </c>
      <c r="N13" s="18"/>
      <c r="O13" s="18"/>
      <c r="P13" s="18"/>
      <c r="Q13" s="18"/>
      <c r="R13" s="18"/>
      <c r="S13" s="19"/>
      <c r="T13" s="21"/>
      <c r="U13" s="21"/>
      <c r="V13" s="19"/>
      <c r="W13" s="19"/>
      <c r="X13" s="19"/>
      <c r="Y13" s="19"/>
      <c r="Z13" s="19"/>
      <c r="AA13" s="19"/>
      <c r="AB13" s="19"/>
      <c r="AC13" s="19"/>
      <c r="AD13" s="19"/>
      <c r="AE13" s="19"/>
      <c r="AF13" s="19"/>
      <c r="AG13" s="19"/>
      <c r="AH13" s="19"/>
      <c r="AI13" s="19"/>
      <c r="AJ13" s="19"/>
      <c r="AK13" s="19"/>
      <c r="AL13" s="19"/>
      <c r="AM13" s="19"/>
    </row>
    <row r="14">
      <c r="A14" s="28" t="s">
        <v>233</v>
      </c>
      <c r="B14" s="26" t="str">
        <f>TRIM(MID(A14, SEARCH("- ", A14) + 2, LEN(A14)))
</f>
        <v>MARCO JURÍDICO Y NORMATIVO DE LA MINERÍA</v>
      </c>
      <c r="C14" s="13" t="s">
        <v>77</v>
      </c>
      <c r="D14" s="13" t="s">
        <v>77</v>
      </c>
      <c r="E14" s="13" t="s">
        <v>77</v>
      </c>
      <c r="F14" s="13" t="s">
        <v>62</v>
      </c>
      <c r="G14" s="13" t="s">
        <v>77</v>
      </c>
      <c r="H14" s="48" t="s">
        <v>236</v>
      </c>
      <c r="I14" s="15" t="str">
        <f t="shared" si="1"/>
        <v>https://youtube.com/embed/d7f0Jg7Y5YY</v>
      </c>
      <c r="J14" s="15" t="s">
        <v>237</v>
      </c>
      <c r="K14" s="33" t="s">
        <v>170</v>
      </c>
      <c r="L14" s="34" t="s">
        <v>278</v>
      </c>
      <c r="M14" s="17" t="s">
        <v>114</v>
      </c>
      <c r="N14" s="18"/>
      <c r="O14" s="18" t="s">
        <v>117</v>
      </c>
      <c r="P14" s="18" t="s">
        <v>118</v>
      </c>
      <c r="Q14" s="18" t="s">
        <v>120</v>
      </c>
      <c r="R14" s="18">
        <v>30.0</v>
      </c>
      <c r="S14" s="19"/>
      <c r="T14" s="21" t="s">
        <v>122</v>
      </c>
      <c r="U14" s="21" t="s">
        <v>124</v>
      </c>
      <c r="V14" s="19"/>
      <c r="W14" s="19"/>
      <c r="X14" s="19"/>
      <c r="Y14" s="19"/>
      <c r="Z14" s="19"/>
      <c r="AA14" s="19"/>
      <c r="AB14" s="19"/>
      <c r="AC14" s="19"/>
      <c r="AD14" s="19"/>
      <c r="AE14" s="19"/>
      <c r="AF14" s="19"/>
      <c r="AG14" s="19"/>
      <c r="AH14" s="19"/>
      <c r="AI14" s="19"/>
      <c r="AJ14" s="19"/>
      <c r="AK14" s="19"/>
      <c r="AL14" s="19"/>
      <c r="AM14" s="19"/>
    </row>
    <row r="15">
      <c r="A15" s="23"/>
      <c r="B15" s="23"/>
      <c r="C15" s="23"/>
      <c r="D15" s="23"/>
      <c r="E15" s="23"/>
      <c r="F15" s="23"/>
      <c r="G15" s="23"/>
      <c r="H15" s="34" t="s">
        <v>239</v>
      </c>
      <c r="I15" s="15" t="str">
        <f t="shared" si="1"/>
        <v>https://youtube.com/embed/z0JpdWvpsM8</v>
      </c>
      <c r="J15" s="15" t="s">
        <v>240</v>
      </c>
      <c r="K15" s="33" t="s">
        <v>185</v>
      </c>
      <c r="L15" s="34" t="s">
        <v>283</v>
      </c>
      <c r="M15" s="17" t="s">
        <v>114</v>
      </c>
      <c r="N15" s="18"/>
      <c r="O15" s="18"/>
      <c r="P15" s="18"/>
      <c r="Q15" s="18"/>
      <c r="R15" s="18"/>
      <c r="S15" s="19"/>
      <c r="T15" s="21"/>
      <c r="U15" s="21"/>
      <c r="V15" s="19"/>
      <c r="W15" s="19"/>
      <c r="X15" s="19"/>
      <c r="Y15" s="19"/>
      <c r="Z15" s="19"/>
      <c r="AA15" s="19"/>
      <c r="AB15" s="19"/>
      <c r="AC15" s="19"/>
      <c r="AD15" s="19"/>
      <c r="AE15" s="19"/>
      <c r="AF15" s="19"/>
      <c r="AG15" s="19"/>
      <c r="AH15" s="19"/>
      <c r="AI15" s="19"/>
      <c r="AJ15" s="19"/>
      <c r="AK15" s="19"/>
      <c r="AL15" s="19"/>
      <c r="AM15" s="19"/>
    </row>
    <row r="16">
      <c r="A16" s="23"/>
      <c r="B16" s="23"/>
      <c r="C16" s="23"/>
      <c r="D16" s="23"/>
      <c r="E16" s="23"/>
      <c r="F16" s="23"/>
      <c r="G16" s="23"/>
      <c r="H16" s="34" t="s">
        <v>242</v>
      </c>
      <c r="I16" s="15" t="str">
        <f t="shared" si="1"/>
        <v>https://youtube.com/embed/jpXPolJzulY</v>
      </c>
      <c r="J16" s="15" t="s">
        <v>243</v>
      </c>
      <c r="K16" s="33" t="s">
        <v>192</v>
      </c>
      <c r="L16" s="34" t="s">
        <v>287</v>
      </c>
      <c r="M16" s="17" t="s">
        <v>114</v>
      </c>
      <c r="N16" s="18"/>
      <c r="O16" s="18"/>
      <c r="P16" s="18"/>
      <c r="Q16" s="18"/>
      <c r="R16" s="18"/>
      <c r="S16" s="19"/>
      <c r="T16" s="21"/>
      <c r="U16" s="21"/>
      <c r="V16" s="19"/>
      <c r="W16" s="19"/>
      <c r="X16" s="19"/>
      <c r="Y16" s="19"/>
      <c r="Z16" s="19"/>
      <c r="AA16" s="19"/>
      <c r="AB16" s="19"/>
      <c r="AC16" s="19"/>
      <c r="AD16" s="19"/>
      <c r="AE16" s="19"/>
      <c r="AF16" s="19"/>
      <c r="AG16" s="19"/>
      <c r="AH16" s="19"/>
      <c r="AI16" s="19"/>
      <c r="AJ16" s="19"/>
      <c r="AK16" s="19"/>
      <c r="AL16" s="19"/>
      <c r="AM16" s="19"/>
    </row>
    <row r="17">
      <c r="A17" s="27"/>
      <c r="B17" s="27"/>
      <c r="C17" s="27"/>
      <c r="D17" s="27"/>
      <c r="E17" s="27"/>
      <c r="F17" s="27"/>
      <c r="G17" s="27"/>
      <c r="H17" s="34" t="s">
        <v>245</v>
      </c>
      <c r="I17" s="15" t="str">
        <f t="shared" si="1"/>
        <v>https://youtube.com/embed/wAlBvkZn5Jg</v>
      </c>
      <c r="J17" s="15" t="s">
        <v>247</v>
      </c>
      <c r="K17" s="33" t="s">
        <v>212</v>
      </c>
      <c r="L17" s="34" t="s">
        <v>291</v>
      </c>
      <c r="M17" s="17" t="s">
        <v>114</v>
      </c>
      <c r="N17" s="18"/>
      <c r="O17" s="18"/>
      <c r="P17" s="18"/>
      <c r="Q17" s="18"/>
      <c r="R17" s="18"/>
      <c r="S17" s="19"/>
      <c r="T17" s="21"/>
      <c r="U17" s="21"/>
      <c r="V17" s="19"/>
      <c r="W17" s="19"/>
      <c r="X17" s="19"/>
      <c r="Y17" s="19"/>
      <c r="Z17" s="19"/>
      <c r="AA17" s="19"/>
      <c r="AB17" s="19"/>
      <c r="AC17" s="19"/>
      <c r="AD17" s="19"/>
      <c r="AE17" s="19"/>
      <c r="AF17" s="19"/>
      <c r="AG17" s="19"/>
      <c r="AH17" s="19"/>
      <c r="AI17" s="19"/>
      <c r="AJ17" s="19"/>
      <c r="AK17" s="19"/>
      <c r="AL17" s="19"/>
      <c r="AM17" s="19"/>
    </row>
    <row r="18">
      <c r="A18" s="28" t="s">
        <v>256</v>
      </c>
      <c r="B18" s="26" t="str">
        <f>TRIM(MID(A18, SEARCH("- ", A18) + 2, LEN(A18)))
</f>
        <v>GESTIÓN DE PROVEEDORES EN MINERÍA</v>
      </c>
      <c r="C18" s="13" t="s">
        <v>77</v>
      </c>
      <c r="D18" s="13" t="s">
        <v>77</v>
      </c>
      <c r="E18" s="13" t="s">
        <v>77</v>
      </c>
      <c r="F18" s="13" t="s">
        <v>63</v>
      </c>
      <c r="G18" s="13" t="s">
        <v>77</v>
      </c>
      <c r="H18" s="34" t="s">
        <v>258</v>
      </c>
      <c r="I18" s="15" t="str">
        <f t="shared" si="1"/>
        <v>https://youtube.com/embed/ezlES8BVzMo</v>
      </c>
      <c r="J18" s="15" t="s">
        <v>260</v>
      </c>
      <c r="K18" s="33" t="s">
        <v>170</v>
      </c>
      <c r="L18" s="34" t="s">
        <v>297</v>
      </c>
      <c r="M18" s="17" t="s">
        <v>263</v>
      </c>
      <c r="N18" s="56" t="str">
        <f>"COMIENZA DICIENDO QUE ES EL RESUMEN DEL CURSO " &amp; B18 &amp; " DE EDUMIN, LUEGO HAZ EL RESUMEN Y FINALIZA INVITANDO A VER EL RESTO DE RECURSOS DE LAS ZONAS DE EDUMIN."</f>
        <v>COMIENZA DICIENDO QUE ES EL RESUMEN DEL CURSO GESTIÓN DE PROVEEDORES EN MINERÍA DE EDUMIN, LUEGO HAZ EL RESUMEN Y FINALIZA INVITANDO A VER EL RESTO DE RECURSOS DE LAS ZONAS DE EDUMIN.</v>
      </c>
      <c r="O18" s="18" t="s">
        <v>164</v>
      </c>
      <c r="P18" s="18" t="s">
        <v>120</v>
      </c>
      <c r="Q18" s="18" t="s">
        <v>165</v>
      </c>
      <c r="R18" s="18">
        <v>30.0</v>
      </c>
      <c r="S18" s="19"/>
      <c r="T18" s="21" t="s">
        <v>122</v>
      </c>
      <c r="U18" s="21" t="s">
        <v>124</v>
      </c>
      <c r="V18" s="19"/>
      <c r="W18" s="19"/>
      <c r="X18" s="19"/>
      <c r="Y18" s="19"/>
      <c r="Z18" s="19"/>
      <c r="AA18" s="19"/>
      <c r="AB18" s="19"/>
      <c r="AC18" s="19"/>
      <c r="AD18" s="19"/>
      <c r="AE18" s="19"/>
      <c r="AF18" s="19"/>
      <c r="AG18" s="19"/>
      <c r="AH18" s="19"/>
      <c r="AI18" s="19"/>
      <c r="AJ18" s="19"/>
      <c r="AK18" s="19"/>
      <c r="AL18" s="19"/>
      <c r="AM18" s="19"/>
    </row>
    <row r="19">
      <c r="A19" s="23"/>
      <c r="B19" s="23"/>
      <c r="C19" s="23"/>
      <c r="D19" s="23"/>
      <c r="E19" s="23"/>
      <c r="F19" s="23"/>
      <c r="G19" s="23"/>
      <c r="H19" s="34" t="s">
        <v>266</v>
      </c>
      <c r="I19" s="15" t="str">
        <f t="shared" si="1"/>
        <v>https://youtube.com/embed/InTwibl_aG8</v>
      </c>
      <c r="J19" s="15" t="s">
        <v>267</v>
      </c>
      <c r="K19" s="33" t="s">
        <v>185</v>
      </c>
      <c r="L19" s="34" t="s">
        <v>303</v>
      </c>
      <c r="M19" s="17" t="s">
        <v>263</v>
      </c>
      <c r="N19" s="37"/>
      <c r="O19" s="18"/>
      <c r="P19" s="18"/>
      <c r="Q19" s="18"/>
      <c r="R19" s="18"/>
      <c r="S19" s="19"/>
      <c r="T19" s="21"/>
      <c r="U19" s="21"/>
      <c r="V19" s="19"/>
      <c r="W19" s="19"/>
      <c r="X19" s="19"/>
      <c r="Y19" s="19"/>
      <c r="Z19" s="19"/>
      <c r="AA19" s="19"/>
      <c r="AB19" s="19"/>
      <c r="AC19" s="19"/>
      <c r="AD19" s="19"/>
      <c r="AE19" s="19"/>
      <c r="AF19" s="19"/>
      <c r="AG19" s="19"/>
      <c r="AH19" s="19"/>
      <c r="AI19" s="19"/>
      <c r="AJ19" s="19"/>
      <c r="AK19" s="19"/>
      <c r="AL19" s="19"/>
      <c r="AM19" s="19"/>
    </row>
    <row r="20">
      <c r="A20" s="23"/>
      <c r="B20" s="23"/>
      <c r="C20" s="23"/>
      <c r="D20" s="23"/>
      <c r="E20" s="23"/>
      <c r="F20" s="23"/>
      <c r="G20" s="23"/>
      <c r="H20" s="34" t="s">
        <v>271</v>
      </c>
      <c r="I20" s="15" t="str">
        <f t="shared" si="1"/>
        <v>https://youtube.com/embed/uGZhhP7DREQ</v>
      </c>
      <c r="J20" s="15" t="s">
        <v>272</v>
      </c>
      <c r="K20" s="33" t="s">
        <v>192</v>
      </c>
      <c r="L20" s="34" t="s">
        <v>307</v>
      </c>
      <c r="M20" s="17" t="s">
        <v>263</v>
      </c>
      <c r="N20" s="37"/>
      <c r="O20" s="18"/>
      <c r="P20" s="18"/>
      <c r="Q20" s="18"/>
      <c r="R20" s="18"/>
      <c r="S20" s="19"/>
      <c r="T20" s="21"/>
      <c r="U20" s="21"/>
      <c r="V20" s="19"/>
      <c r="W20" s="19"/>
      <c r="X20" s="19"/>
      <c r="Y20" s="19"/>
      <c r="Z20" s="19"/>
      <c r="AA20" s="19"/>
      <c r="AB20" s="19"/>
      <c r="AC20" s="19"/>
      <c r="AD20" s="19"/>
      <c r="AE20" s="19"/>
      <c r="AF20" s="19"/>
      <c r="AG20" s="19"/>
      <c r="AH20" s="19"/>
      <c r="AI20" s="19"/>
      <c r="AJ20" s="19"/>
      <c r="AK20" s="19"/>
      <c r="AL20" s="19"/>
      <c r="AM20" s="19"/>
    </row>
    <row r="21">
      <c r="A21" s="27"/>
      <c r="B21" s="27"/>
      <c r="C21" s="27"/>
      <c r="D21" s="27"/>
      <c r="E21" s="27"/>
      <c r="F21" s="27"/>
      <c r="G21" s="27"/>
      <c r="H21" s="34" t="s">
        <v>275</v>
      </c>
      <c r="I21" s="15" t="str">
        <f t="shared" si="1"/>
        <v>https://youtube.com/embed/uel312Qq5hM</v>
      </c>
      <c r="J21" s="15" t="s">
        <v>276</v>
      </c>
      <c r="K21" s="33" t="s">
        <v>212</v>
      </c>
      <c r="L21" s="34" t="s">
        <v>310</v>
      </c>
      <c r="M21" s="17" t="s">
        <v>263</v>
      </c>
      <c r="N21" s="37"/>
      <c r="O21" s="18"/>
      <c r="P21" s="18"/>
      <c r="Q21" s="18"/>
      <c r="R21" s="18"/>
      <c r="S21" s="19"/>
      <c r="T21" s="21"/>
      <c r="U21" s="21"/>
      <c r="V21" s="19"/>
      <c r="W21" s="19"/>
      <c r="X21" s="19"/>
      <c r="Y21" s="19"/>
      <c r="Z21" s="19"/>
      <c r="AA21" s="19"/>
      <c r="AB21" s="19"/>
      <c r="AC21" s="19"/>
      <c r="AD21" s="19"/>
      <c r="AE21" s="19"/>
      <c r="AF21" s="19"/>
      <c r="AG21" s="19"/>
      <c r="AH21" s="19"/>
      <c r="AI21" s="19"/>
      <c r="AJ21" s="19"/>
      <c r="AK21" s="19"/>
      <c r="AL21" s="19"/>
      <c r="AM21" s="19"/>
    </row>
    <row r="22">
      <c r="A22" s="28" t="s">
        <v>279</v>
      </c>
      <c r="B22" s="26" t="str">
        <f>TRIM(MID(A22, SEARCH("- ", A22) + 2, LEN(A22)))
</f>
        <v>CONTROL DE COSTOS EN ALMACENES MINEROS</v>
      </c>
      <c r="C22" s="13" t="s">
        <v>77</v>
      </c>
      <c r="D22" s="13" t="s">
        <v>77</v>
      </c>
      <c r="E22" s="13" t="s">
        <v>77</v>
      </c>
      <c r="F22" s="13" t="s">
        <v>63</v>
      </c>
      <c r="G22" s="13" t="s">
        <v>77</v>
      </c>
      <c r="H22" s="34" t="s">
        <v>284</v>
      </c>
      <c r="I22" s="15" t="str">
        <f t="shared" si="1"/>
        <v>https://www.youtube.com/embed/UXUGUUqg5P4</v>
      </c>
      <c r="J22" s="15" t="s">
        <v>286</v>
      </c>
      <c r="K22" s="33" t="s">
        <v>170</v>
      </c>
      <c r="L22" s="34" t="s">
        <v>313</v>
      </c>
      <c r="M22" s="17" t="s">
        <v>263</v>
      </c>
      <c r="N22" s="56" t="str">
        <f>"COMIENZA DICIENDO QUE ES EL RESUMEN DEL CURSO " &amp; B22 &amp; " DE EDUMIN, LUEGO HAZ EL RESUMEN Y FINALIZA INVITANDO A VER EL RESTO DE RECURSOS DE LAS ZONAS DE EDUMIN."</f>
        <v>COMIENZA DICIENDO QUE ES EL RESUMEN DEL CURSO CONTROL DE COSTOS EN ALMACENES MINEROS DE EDUMIN, LUEGO HAZ EL RESUMEN Y FINALIZA INVITANDO A VER EL RESTO DE RECURSOS DE LAS ZONAS DE EDUMIN.</v>
      </c>
      <c r="O22" s="18" t="s">
        <v>117</v>
      </c>
      <c r="P22" s="18" t="s">
        <v>118</v>
      </c>
      <c r="Q22" s="18" t="s">
        <v>120</v>
      </c>
      <c r="R22" s="18">
        <v>30.0</v>
      </c>
      <c r="S22" s="19"/>
      <c r="T22" s="21" t="s">
        <v>122</v>
      </c>
      <c r="U22" s="21" t="s">
        <v>124</v>
      </c>
      <c r="V22" s="19"/>
      <c r="W22" s="19"/>
      <c r="X22" s="19"/>
      <c r="Y22" s="19"/>
      <c r="Z22" s="19"/>
      <c r="AA22" s="19"/>
      <c r="AB22" s="19"/>
      <c r="AC22" s="19"/>
      <c r="AD22" s="19"/>
      <c r="AE22" s="19"/>
      <c r="AF22" s="19"/>
      <c r="AG22" s="19"/>
      <c r="AH22" s="19"/>
      <c r="AI22" s="19"/>
      <c r="AJ22" s="19"/>
      <c r="AK22" s="19"/>
      <c r="AL22" s="19"/>
      <c r="AM22" s="19"/>
    </row>
    <row r="23">
      <c r="A23" s="23"/>
      <c r="B23" s="23"/>
      <c r="C23" s="23"/>
      <c r="D23" s="23"/>
      <c r="E23" s="23"/>
      <c r="F23" s="23"/>
      <c r="G23" s="23"/>
      <c r="H23" s="57" t="s">
        <v>317</v>
      </c>
      <c r="I23" s="15" t="str">
        <f t="shared" si="1"/>
        <v>https://www.youtube.com/embed/_MiGhWoqWqY</v>
      </c>
      <c r="J23" s="15" t="s">
        <v>293</v>
      </c>
      <c r="K23" s="33" t="s">
        <v>185</v>
      </c>
      <c r="L23" s="34" t="s">
        <v>320</v>
      </c>
      <c r="M23" s="17" t="s">
        <v>263</v>
      </c>
      <c r="N23" s="37"/>
      <c r="O23" s="18"/>
      <c r="P23" s="18"/>
      <c r="Q23" s="18"/>
      <c r="R23" s="18"/>
      <c r="S23" s="19"/>
      <c r="T23" s="21"/>
      <c r="U23" s="21"/>
      <c r="V23" s="19"/>
      <c r="W23" s="19"/>
      <c r="X23" s="19"/>
      <c r="Y23" s="19"/>
      <c r="Z23" s="19"/>
      <c r="AA23" s="19"/>
      <c r="AB23" s="19"/>
      <c r="AC23" s="19"/>
      <c r="AD23" s="19"/>
      <c r="AE23" s="19"/>
      <c r="AF23" s="19"/>
      <c r="AG23" s="19"/>
      <c r="AH23" s="19"/>
      <c r="AI23" s="19"/>
      <c r="AJ23" s="19"/>
      <c r="AK23" s="19"/>
      <c r="AL23" s="19"/>
      <c r="AM23" s="19"/>
    </row>
    <row r="24">
      <c r="A24" s="23"/>
      <c r="B24" s="23"/>
      <c r="C24" s="23"/>
      <c r="D24" s="23"/>
      <c r="E24" s="23"/>
      <c r="F24" s="23"/>
      <c r="G24" s="23"/>
      <c r="H24" s="34" t="s">
        <v>295</v>
      </c>
      <c r="I24" s="15" t="str">
        <f t="shared" si="1"/>
        <v>https://www.youtube.com/embed/jl44NKscLu8</v>
      </c>
      <c r="J24" s="15" t="s">
        <v>298</v>
      </c>
      <c r="K24" s="33" t="s">
        <v>192</v>
      </c>
      <c r="L24" s="34" t="s">
        <v>322</v>
      </c>
      <c r="M24" s="17" t="s">
        <v>263</v>
      </c>
      <c r="N24" s="37"/>
      <c r="O24" s="18"/>
      <c r="P24" s="18"/>
      <c r="Q24" s="18"/>
      <c r="R24" s="18"/>
      <c r="S24" s="19"/>
      <c r="T24" s="21"/>
      <c r="U24" s="21"/>
      <c r="V24" s="19"/>
      <c r="W24" s="19"/>
      <c r="X24" s="19"/>
      <c r="Y24" s="19"/>
      <c r="Z24" s="19"/>
      <c r="AA24" s="19"/>
      <c r="AB24" s="19"/>
      <c r="AC24" s="19"/>
      <c r="AD24" s="19"/>
      <c r="AE24" s="19"/>
      <c r="AF24" s="19"/>
      <c r="AG24" s="19"/>
      <c r="AH24" s="19"/>
      <c r="AI24" s="19"/>
      <c r="AJ24" s="19"/>
      <c r="AK24" s="19"/>
      <c r="AL24" s="19"/>
      <c r="AM24" s="19"/>
    </row>
    <row r="25">
      <c r="A25" s="27"/>
      <c r="B25" s="27"/>
      <c r="C25" s="27"/>
      <c r="D25" s="27"/>
      <c r="E25" s="27"/>
      <c r="F25" s="27"/>
      <c r="G25" s="27"/>
      <c r="H25" s="34" t="s">
        <v>301</v>
      </c>
      <c r="I25" s="15" t="str">
        <f t="shared" si="1"/>
        <v>https://youtube.com/embed/jghOVERkJKw</v>
      </c>
      <c r="J25" s="15" t="s">
        <v>302</v>
      </c>
      <c r="K25" s="33" t="s">
        <v>212</v>
      </c>
      <c r="L25" s="34" t="s">
        <v>325</v>
      </c>
      <c r="M25" s="17" t="s">
        <v>263</v>
      </c>
      <c r="N25" s="37"/>
      <c r="O25" s="18"/>
      <c r="P25" s="18"/>
      <c r="Q25" s="18"/>
      <c r="R25" s="18"/>
      <c r="S25" s="19"/>
      <c r="T25" s="21"/>
      <c r="U25" s="21"/>
      <c r="V25" s="19"/>
      <c r="W25" s="19"/>
      <c r="X25" s="19"/>
      <c r="Y25" s="19"/>
      <c r="Z25" s="19"/>
      <c r="AA25" s="19"/>
      <c r="AB25" s="19"/>
      <c r="AC25" s="19"/>
      <c r="AD25" s="19"/>
      <c r="AE25" s="19"/>
      <c r="AF25" s="19"/>
      <c r="AG25" s="19"/>
      <c r="AH25" s="19"/>
      <c r="AI25" s="19"/>
      <c r="AJ25" s="19"/>
      <c r="AK25" s="19"/>
      <c r="AL25" s="19"/>
      <c r="AM25" s="19"/>
    </row>
    <row r="26">
      <c r="A26" s="28" t="s">
        <v>305</v>
      </c>
      <c r="B26" s="26" t="str">
        <f>TRIM(MID(A26, SEARCH("- ", A26) + 2, LEN(A26)))
</f>
        <v>LOGÍSTICA Y DISTRIBUCIÓN EN LA INDUSTRIA Y MINERÍA</v>
      </c>
      <c r="C26" s="13" t="s">
        <v>77</v>
      </c>
      <c r="D26" s="13" t="s">
        <v>77</v>
      </c>
      <c r="E26" s="13" t="s">
        <v>77</v>
      </c>
      <c r="F26" s="13" t="s">
        <v>63</v>
      </c>
      <c r="G26" s="13" t="s">
        <v>77</v>
      </c>
      <c r="H26" s="34" t="s">
        <v>308</v>
      </c>
      <c r="I26" s="15" t="str">
        <f t="shared" si="1"/>
        <v>https://www.youtube.com/embed/07FOszC5N2U</v>
      </c>
      <c r="J26" s="15" t="s">
        <v>309</v>
      </c>
      <c r="K26" s="33" t="s">
        <v>170</v>
      </c>
      <c r="L26" s="34" t="s">
        <v>330</v>
      </c>
      <c r="M26" s="17" t="s">
        <v>263</v>
      </c>
      <c r="N26" s="56" t="str">
        <f>"COMIENZA DICIENDO QUE ES EL RESUMEN DEL CURSO " &amp; B26 &amp; " DE EDUMIN, LUEGO HAZ EL RESUMEN Y FINALIZA INVITANDO A VER EL RESTO DE RECURSOS DE LAS ZONAS DE EDUMIN."</f>
        <v>COMIENZA DICIENDO QUE ES EL RESUMEN DEL CURSO LOGÍSTICA Y DISTRIBUCIÓN EN LA INDUSTRIA Y MINERÍA DE EDUMIN, LUEGO HAZ EL RESUMEN Y FINALIZA INVITANDO A VER EL RESTO DE RECURSOS DE LAS ZONAS DE EDUMIN.</v>
      </c>
      <c r="O26" s="18" t="s">
        <v>164</v>
      </c>
      <c r="P26" s="18" t="s">
        <v>120</v>
      </c>
      <c r="Q26" s="18" t="s">
        <v>165</v>
      </c>
      <c r="R26" s="18">
        <v>30.0</v>
      </c>
      <c r="S26" s="19"/>
      <c r="T26" s="21" t="s">
        <v>122</v>
      </c>
      <c r="U26" s="21" t="s">
        <v>124</v>
      </c>
      <c r="V26" s="19"/>
      <c r="W26" s="19"/>
      <c r="X26" s="19"/>
      <c r="Y26" s="19"/>
      <c r="Z26" s="19"/>
      <c r="AA26" s="19"/>
      <c r="AB26" s="19"/>
      <c r="AC26" s="19"/>
      <c r="AD26" s="19"/>
      <c r="AE26" s="19"/>
      <c r="AF26" s="19"/>
      <c r="AG26" s="19"/>
      <c r="AH26" s="19"/>
      <c r="AI26" s="19"/>
      <c r="AJ26" s="19"/>
      <c r="AK26" s="19"/>
      <c r="AL26" s="19"/>
      <c r="AM26" s="19"/>
    </row>
    <row r="27">
      <c r="A27" s="23"/>
      <c r="B27" s="23"/>
      <c r="C27" s="23"/>
      <c r="D27" s="23"/>
      <c r="E27" s="23"/>
      <c r="F27" s="23"/>
      <c r="G27" s="23"/>
      <c r="H27" s="57" t="s">
        <v>333</v>
      </c>
      <c r="I27" s="15" t="str">
        <f t="shared" si="1"/>
        <v>https://www.youtube.com/embed/6Ms87Rq4c30</v>
      </c>
      <c r="J27" s="15" t="s">
        <v>312</v>
      </c>
      <c r="K27" s="33" t="s">
        <v>185</v>
      </c>
      <c r="L27" s="34" t="s">
        <v>335</v>
      </c>
      <c r="M27" s="17" t="s">
        <v>263</v>
      </c>
      <c r="N27" s="37"/>
      <c r="O27" s="18"/>
      <c r="P27" s="18"/>
      <c r="Q27" s="18"/>
      <c r="R27" s="18"/>
      <c r="S27" s="19"/>
      <c r="T27" s="21"/>
      <c r="U27" s="21"/>
      <c r="V27" s="19"/>
      <c r="W27" s="19"/>
      <c r="X27" s="19"/>
      <c r="Y27" s="19"/>
      <c r="Z27" s="19"/>
      <c r="AA27" s="19"/>
      <c r="AB27" s="19"/>
      <c r="AC27" s="19"/>
      <c r="AD27" s="19"/>
      <c r="AE27" s="19"/>
      <c r="AF27" s="19"/>
      <c r="AG27" s="19"/>
      <c r="AH27" s="19"/>
      <c r="AI27" s="19"/>
      <c r="AJ27" s="19"/>
      <c r="AK27" s="19"/>
      <c r="AL27" s="19"/>
      <c r="AM27" s="19"/>
    </row>
    <row r="28">
      <c r="A28" s="23"/>
      <c r="B28" s="23"/>
      <c r="C28" s="23"/>
      <c r="D28" s="23"/>
      <c r="E28" s="23"/>
      <c r="F28" s="23"/>
      <c r="G28" s="23"/>
      <c r="H28" s="34" t="s">
        <v>314</v>
      </c>
      <c r="I28" s="15" t="str">
        <f t="shared" si="1"/>
        <v>https://www.youtube.com/embed/tE9ceLJvHwU</v>
      </c>
      <c r="J28" s="15" t="s">
        <v>315</v>
      </c>
      <c r="K28" s="33" t="s">
        <v>192</v>
      </c>
      <c r="L28" s="34" t="s">
        <v>338</v>
      </c>
      <c r="M28" s="17" t="s">
        <v>263</v>
      </c>
      <c r="N28" s="37"/>
      <c r="O28" s="18"/>
      <c r="P28" s="18"/>
      <c r="Q28" s="18"/>
      <c r="R28" s="18"/>
      <c r="S28" s="19"/>
      <c r="T28" s="21"/>
      <c r="U28" s="21"/>
      <c r="V28" s="19"/>
      <c r="W28" s="19"/>
      <c r="X28" s="19"/>
      <c r="Y28" s="19"/>
      <c r="Z28" s="19"/>
      <c r="AA28" s="19"/>
      <c r="AB28" s="19"/>
      <c r="AC28" s="19"/>
      <c r="AD28" s="19"/>
      <c r="AE28" s="19"/>
      <c r="AF28" s="19"/>
      <c r="AG28" s="19"/>
      <c r="AH28" s="19"/>
      <c r="AI28" s="19"/>
      <c r="AJ28" s="19"/>
      <c r="AK28" s="19"/>
      <c r="AL28" s="19"/>
      <c r="AM28" s="19"/>
    </row>
    <row r="29">
      <c r="A29" s="27"/>
      <c r="B29" s="27"/>
      <c r="C29" s="27"/>
      <c r="D29" s="27"/>
      <c r="E29" s="27"/>
      <c r="F29" s="27"/>
      <c r="G29" s="27"/>
      <c r="H29" s="34" t="s">
        <v>318</v>
      </c>
      <c r="I29" s="15" t="str">
        <f t="shared" si="1"/>
        <v>https://youtube.com/embed/mNqKgdl6Tzs</v>
      </c>
      <c r="J29" s="15" t="s">
        <v>319</v>
      </c>
      <c r="K29" s="33" t="s">
        <v>212</v>
      </c>
      <c r="L29" s="34" t="s">
        <v>341</v>
      </c>
      <c r="M29" s="17" t="s">
        <v>263</v>
      </c>
      <c r="N29" s="37"/>
      <c r="O29" s="18"/>
      <c r="P29" s="18"/>
      <c r="Q29" s="18"/>
      <c r="R29" s="18"/>
      <c r="S29" s="19"/>
      <c r="T29" s="21"/>
      <c r="U29" s="21"/>
      <c r="V29" s="19"/>
      <c r="W29" s="19"/>
      <c r="X29" s="19"/>
      <c r="Y29" s="19"/>
      <c r="Z29" s="19"/>
      <c r="AA29" s="19"/>
      <c r="AB29" s="19"/>
      <c r="AC29" s="19"/>
      <c r="AD29" s="19"/>
      <c r="AE29" s="19"/>
      <c r="AF29" s="19"/>
      <c r="AG29" s="19"/>
      <c r="AH29" s="19"/>
      <c r="AI29" s="19"/>
      <c r="AJ29" s="19"/>
      <c r="AK29" s="19"/>
      <c r="AL29" s="19"/>
      <c r="AM29" s="19"/>
    </row>
    <row r="30">
      <c r="A30" s="28" t="s">
        <v>321</v>
      </c>
      <c r="B30" s="26" t="str">
        <f>TRIM(MID(A30, SEARCH("- ", A30) + 2, LEN(A30)))
</f>
        <v>CONTRATOS EN LA INDUSTRIA MINERA</v>
      </c>
      <c r="C30" s="13" t="s">
        <v>77</v>
      </c>
      <c r="D30" s="13" t="s">
        <v>77</v>
      </c>
      <c r="E30" s="13" t="s">
        <v>77</v>
      </c>
      <c r="F30" s="13" t="s">
        <v>62</v>
      </c>
      <c r="G30" s="13" t="s">
        <v>77</v>
      </c>
      <c r="H30" s="34" t="s">
        <v>323</v>
      </c>
      <c r="I30" s="15" t="str">
        <f t="shared" si="1"/>
        <v>https://youtube.com/embed/rmg-UHlIzoA</v>
      </c>
      <c r="J30" s="15" t="s">
        <v>324</v>
      </c>
      <c r="K30" s="33" t="s">
        <v>170</v>
      </c>
      <c r="L30" s="34" t="s">
        <v>346</v>
      </c>
      <c r="M30" s="17" t="s">
        <v>114</v>
      </c>
      <c r="N30" s="18"/>
      <c r="O30" s="18" t="s">
        <v>164</v>
      </c>
      <c r="P30" s="18" t="s">
        <v>120</v>
      </c>
      <c r="Q30" s="18" t="s">
        <v>165</v>
      </c>
      <c r="R30" s="18">
        <v>30.0</v>
      </c>
      <c r="S30" s="19"/>
      <c r="T30" s="21" t="s">
        <v>122</v>
      </c>
      <c r="U30" s="21" t="s">
        <v>124</v>
      </c>
      <c r="V30" s="19"/>
      <c r="W30" s="19"/>
      <c r="X30" s="19"/>
      <c r="Y30" s="19"/>
      <c r="Z30" s="19"/>
      <c r="AA30" s="19"/>
      <c r="AB30" s="19"/>
      <c r="AC30" s="19"/>
      <c r="AD30" s="19"/>
      <c r="AE30" s="19"/>
      <c r="AF30" s="19"/>
      <c r="AG30" s="19"/>
      <c r="AH30" s="19"/>
      <c r="AI30" s="19"/>
      <c r="AJ30" s="19"/>
      <c r="AK30" s="19"/>
      <c r="AL30" s="19"/>
      <c r="AM30" s="19"/>
    </row>
    <row r="31">
      <c r="A31" s="23"/>
      <c r="B31" s="23"/>
      <c r="C31" s="23"/>
      <c r="D31" s="23"/>
      <c r="E31" s="23"/>
      <c r="F31" s="23"/>
      <c r="G31" s="23"/>
      <c r="H31" s="34" t="s">
        <v>326</v>
      </c>
      <c r="I31" s="15" t="str">
        <f t="shared" si="1"/>
        <v>https://youtube.com/embed/9NsuHQy0QC8</v>
      </c>
      <c r="J31" s="15" t="s">
        <v>327</v>
      </c>
      <c r="K31" s="33" t="s">
        <v>185</v>
      </c>
      <c r="L31" s="34" t="s">
        <v>349</v>
      </c>
      <c r="M31" s="17" t="s">
        <v>114</v>
      </c>
      <c r="N31" s="18"/>
      <c r="O31" s="18"/>
      <c r="P31" s="18"/>
      <c r="Q31" s="18"/>
      <c r="R31" s="18"/>
      <c r="S31" s="19"/>
      <c r="T31" s="21"/>
      <c r="U31" s="21"/>
      <c r="V31" s="19"/>
      <c r="W31" s="19"/>
      <c r="X31" s="19"/>
      <c r="Y31" s="19"/>
      <c r="Z31" s="19"/>
      <c r="AA31" s="19"/>
      <c r="AB31" s="19"/>
      <c r="AC31" s="19"/>
      <c r="AD31" s="19"/>
      <c r="AE31" s="19"/>
      <c r="AF31" s="19"/>
      <c r="AG31" s="19"/>
      <c r="AH31" s="19"/>
      <c r="AI31" s="19"/>
      <c r="AJ31" s="19"/>
      <c r="AK31" s="19"/>
      <c r="AL31" s="19"/>
      <c r="AM31" s="19"/>
    </row>
    <row r="32">
      <c r="A32" s="23"/>
      <c r="B32" s="23"/>
      <c r="C32" s="23"/>
      <c r="D32" s="23"/>
      <c r="E32" s="23"/>
      <c r="F32" s="23"/>
      <c r="G32" s="23"/>
      <c r="H32" s="34" t="s">
        <v>328</v>
      </c>
      <c r="I32" s="15" t="str">
        <f t="shared" si="1"/>
        <v>https://youtube.com/embed/aHoENZaJGAw</v>
      </c>
      <c r="J32" s="15" t="s">
        <v>329</v>
      </c>
      <c r="K32" s="33" t="s">
        <v>192</v>
      </c>
      <c r="L32" s="34" t="s">
        <v>351</v>
      </c>
      <c r="M32" s="17" t="s">
        <v>114</v>
      </c>
      <c r="N32" s="18"/>
      <c r="O32" s="18"/>
      <c r="P32" s="18"/>
      <c r="Q32" s="18"/>
      <c r="R32" s="18"/>
      <c r="S32" s="19"/>
      <c r="T32" s="21"/>
      <c r="U32" s="21"/>
      <c r="V32" s="19"/>
      <c r="W32" s="19"/>
      <c r="X32" s="19"/>
      <c r="Y32" s="19"/>
      <c r="Z32" s="19"/>
      <c r="AA32" s="19"/>
      <c r="AB32" s="19"/>
      <c r="AC32" s="19"/>
      <c r="AD32" s="19"/>
      <c r="AE32" s="19"/>
      <c r="AF32" s="19"/>
      <c r="AG32" s="19"/>
      <c r="AH32" s="19"/>
      <c r="AI32" s="19"/>
      <c r="AJ32" s="19"/>
      <c r="AK32" s="19"/>
      <c r="AL32" s="19"/>
      <c r="AM32" s="19"/>
    </row>
    <row r="33">
      <c r="A33" s="27"/>
      <c r="B33" s="27"/>
      <c r="C33" s="27"/>
      <c r="D33" s="27"/>
      <c r="E33" s="27"/>
      <c r="F33" s="27"/>
      <c r="G33" s="27"/>
      <c r="H33" s="34" t="s">
        <v>331</v>
      </c>
      <c r="I33" s="15" t="str">
        <f t="shared" si="1"/>
        <v>https://youtube.com/embed/Ti4OsD_8CUA</v>
      </c>
      <c r="J33" s="15" t="s">
        <v>332</v>
      </c>
      <c r="K33" s="33" t="s">
        <v>212</v>
      </c>
      <c r="L33" s="34" t="s">
        <v>355</v>
      </c>
      <c r="M33" s="17" t="s">
        <v>114</v>
      </c>
      <c r="N33" s="18"/>
      <c r="O33" s="18"/>
      <c r="P33" s="18"/>
      <c r="Q33" s="18"/>
      <c r="R33" s="18"/>
      <c r="S33" s="19"/>
      <c r="T33" s="21"/>
      <c r="U33" s="21"/>
      <c r="V33" s="19"/>
      <c r="W33" s="19"/>
      <c r="X33" s="19"/>
      <c r="Y33" s="19"/>
      <c r="Z33" s="19"/>
      <c r="AA33" s="19"/>
      <c r="AB33" s="19"/>
      <c r="AC33" s="19"/>
      <c r="AD33" s="19"/>
      <c r="AE33" s="19"/>
      <c r="AF33" s="19"/>
      <c r="AG33" s="19"/>
      <c r="AH33" s="19"/>
      <c r="AI33" s="19"/>
      <c r="AJ33" s="19"/>
      <c r="AK33" s="19"/>
      <c r="AL33" s="19"/>
      <c r="AM33" s="19"/>
    </row>
    <row r="34">
      <c r="A34" s="26" t="s">
        <v>334</v>
      </c>
      <c r="B34" s="26" t="str">
        <f>TRIM(MID(A34, SEARCH("- ", A34) + 2, LEN(A34)))
</f>
        <v>DERECHOS HUMANOS EN MINERÍA</v>
      </c>
      <c r="C34" s="13" t="s">
        <v>77</v>
      </c>
      <c r="D34" s="13" t="s">
        <v>77</v>
      </c>
      <c r="E34" s="13" t="s">
        <v>77</v>
      </c>
      <c r="F34" s="13" t="s">
        <v>60</v>
      </c>
      <c r="G34" s="13" t="s">
        <v>77</v>
      </c>
      <c r="H34" s="34" t="s">
        <v>336</v>
      </c>
      <c r="I34" s="15" t="str">
        <f t="shared" si="1"/>
        <v>https://youtube.com/embed/ozB-gIAstz8</v>
      </c>
      <c r="J34" s="15" t="s">
        <v>337</v>
      </c>
      <c r="K34" s="33" t="s">
        <v>170</v>
      </c>
      <c r="L34" s="34" t="s">
        <v>360</v>
      </c>
      <c r="M34" s="17" t="s">
        <v>114</v>
      </c>
      <c r="N34" s="18"/>
      <c r="O34" s="18" t="s">
        <v>117</v>
      </c>
      <c r="P34" s="18" t="s">
        <v>118</v>
      </c>
      <c r="Q34" s="18" t="s">
        <v>120</v>
      </c>
      <c r="R34" s="18">
        <v>30.0</v>
      </c>
      <c r="S34" s="19"/>
      <c r="T34" s="21" t="s">
        <v>122</v>
      </c>
      <c r="U34" s="21" t="s">
        <v>124</v>
      </c>
      <c r="V34" s="19"/>
      <c r="W34" s="19"/>
      <c r="X34" s="19"/>
      <c r="Y34" s="19"/>
      <c r="Z34" s="19"/>
      <c r="AA34" s="19"/>
      <c r="AB34" s="19"/>
      <c r="AC34" s="19"/>
      <c r="AD34" s="19"/>
      <c r="AE34" s="19"/>
      <c r="AF34" s="19"/>
      <c r="AG34" s="19"/>
      <c r="AH34" s="19"/>
      <c r="AI34" s="19"/>
      <c r="AJ34" s="19"/>
      <c r="AK34" s="19"/>
      <c r="AL34" s="19"/>
      <c r="AM34" s="19"/>
    </row>
    <row r="35">
      <c r="A35" s="23"/>
      <c r="B35" s="23"/>
      <c r="C35" s="23"/>
      <c r="D35" s="23"/>
      <c r="E35" s="23"/>
      <c r="F35" s="23"/>
      <c r="G35" s="23"/>
      <c r="H35" s="34" t="s">
        <v>339</v>
      </c>
      <c r="I35" s="15" t="str">
        <f t="shared" si="1"/>
        <v>https://youtube.com/embed/fyNAO5zb9sU</v>
      </c>
      <c r="J35" s="15" t="s">
        <v>340</v>
      </c>
      <c r="K35" s="33" t="s">
        <v>185</v>
      </c>
      <c r="L35" s="34" t="s">
        <v>362</v>
      </c>
      <c r="M35" s="17" t="s">
        <v>114</v>
      </c>
      <c r="N35" s="18"/>
      <c r="O35" s="18"/>
      <c r="P35" s="18"/>
      <c r="Q35" s="18"/>
      <c r="R35" s="18"/>
      <c r="S35" s="19"/>
      <c r="T35" s="21"/>
      <c r="U35" s="21"/>
      <c r="V35" s="19"/>
      <c r="W35" s="19"/>
      <c r="X35" s="19"/>
      <c r="Y35" s="19"/>
      <c r="Z35" s="19"/>
      <c r="AA35" s="19"/>
      <c r="AB35" s="19"/>
      <c r="AC35" s="19"/>
      <c r="AD35" s="19"/>
      <c r="AE35" s="19"/>
      <c r="AF35" s="19"/>
      <c r="AG35" s="19"/>
      <c r="AH35" s="19"/>
      <c r="AI35" s="19"/>
      <c r="AJ35" s="19"/>
      <c r="AK35" s="19"/>
      <c r="AL35" s="19"/>
      <c r="AM35" s="19"/>
    </row>
    <row r="36">
      <c r="A36" s="23"/>
      <c r="B36" s="23"/>
      <c r="C36" s="23"/>
      <c r="D36" s="23"/>
      <c r="E36" s="23"/>
      <c r="F36" s="23"/>
      <c r="G36" s="23"/>
      <c r="H36" s="34" t="s">
        <v>342</v>
      </c>
      <c r="I36" s="15" t="str">
        <f t="shared" si="1"/>
        <v>https://youtube.com/embed/b7dUQkR3am0</v>
      </c>
      <c r="J36" s="15" t="s">
        <v>343</v>
      </c>
      <c r="K36" s="33" t="s">
        <v>192</v>
      </c>
      <c r="L36" s="34" t="s">
        <v>364</v>
      </c>
      <c r="M36" s="17" t="s">
        <v>114</v>
      </c>
      <c r="N36" s="18"/>
      <c r="O36" s="18"/>
      <c r="P36" s="18"/>
      <c r="Q36" s="18"/>
      <c r="R36" s="18"/>
      <c r="S36" s="19"/>
      <c r="T36" s="21"/>
      <c r="U36" s="21"/>
      <c r="V36" s="19"/>
      <c r="W36" s="19"/>
      <c r="X36" s="19"/>
      <c r="Y36" s="19"/>
      <c r="Z36" s="19"/>
      <c r="AA36" s="19"/>
      <c r="AB36" s="19"/>
      <c r="AC36" s="19"/>
      <c r="AD36" s="19"/>
      <c r="AE36" s="19"/>
      <c r="AF36" s="19"/>
      <c r="AG36" s="19"/>
      <c r="AH36" s="19"/>
      <c r="AI36" s="19"/>
      <c r="AJ36" s="19"/>
      <c r="AK36" s="19"/>
      <c r="AL36" s="19"/>
      <c r="AM36" s="19"/>
    </row>
    <row r="37">
      <c r="A37" s="27"/>
      <c r="B37" s="27"/>
      <c r="C37" s="27"/>
      <c r="D37" s="27"/>
      <c r="E37" s="27"/>
      <c r="F37" s="27"/>
      <c r="G37" s="27"/>
      <c r="H37" s="34" t="s">
        <v>344</v>
      </c>
      <c r="I37" s="15" t="str">
        <f t="shared" si="1"/>
        <v>https://youtube.com/embed/nGgUIA2w3YI</v>
      </c>
      <c r="J37" s="15" t="s">
        <v>345</v>
      </c>
      <c r="K37" s="33" t="s">
        <v>212</v>
      </c>
      <c r="L37" s="34" t="s">
        <v>370</v>
      </c>
      <c r="M37" s="17" t="s">
        <v>114</v>
      </c>
      <c r="N37" s="18"/>
      <c r="O37" s="18"/>
      <c r="P37" s="18"/>
      <c r="Q37" s="18"/>
      <c r="R37" s="18"/>
      <c r="S37" s="19"/>
      <c r="T37" s="21"/>
      <c r="U37" s="21"/>
      <c r="V37" s="19"/>
      <c r="W37" s="19"/>
      <c r="X37" s="19"/>
      <c r="Y37" s="19"/>
      <c r="Z37" s="19"/>
      <c r="AA37" s="19"/>
      <c r="AB37" s="19"/>
      <c r="AC37" s="19"/>
      <c r="AD37" s="19"/>
      <c r="AE37" s="19"/>
      <c r="AF37" s="19"/>
      <c r="AG37" s="19"/>
      <c r="AH37" s="19"/>
      <c r="AI37" s="19"/>
      <c r="AJ37" s="19"/>
      <c r="AK37" s="19"/>
      <c r="AL37" s="19"/>
      <c r="AM37" s="19"/>
    </row>
    <row r="38">
      <c r="A38" s="28" t="s">
        <v>347</v>
      </c>
      <c r="B38" s="26" t="str">
        <f>TRIM(MID(A38, SEARCH("- ", A38) + 2, LEN(A38)))
</f>
        <v>GESTIÓN DE TRABAJO EN ALTO RIESGO EN MINERÍA</v>
      </c>
      <c r="C38" s="13" t="s">
        <v>77</v>
      </c>
      <c r="D38" s="13" t="s">
        <v>77</v>
      </c>
      <c r="E38" s="13" t="s">
        <v>77</v>
      </c>
      <c r="F38" s="13" t="s">
        <v>65</v>
      </c>
      <c r="G38" s="13" t="s">
        <v>77</v>
      </c>
      <c r="H38" s="34" t="s">
        <v>348</v>
      </c>
      <c r="I38" s="15" t="str">
        <f t="shared" si="1"/>
        <v>https://youtube.com/embed/OVUzg3BcNxs</v>
      </c>
      <c r="J38" s="32" t="s">
        <v>350</v>
      </c>
      <c r="K38" s="33" t="s">
        <v>170</v>
      </c>
      <c r="L38" s="49" t="s">
        <v>376</v>
      </c>
      <c r="M38" s="17" t="s">
        <v>114</v>
      </c>
      <c r="N38" s="18"/>
      <c r="O38" s="18" t="s">
        <v>164</v>
      </c>
      <c r="P38" s="18" t="s">
        <v>120</v>
      </c>
      <c r="Q38" s="18" t="s">
        <v>165</v>
      </c>
      <c r="R38" s="18">
        <v>30.0</v>
      </c>
      <c r="S38" s="19"/>
      <c r="T38" s="21" t="s">
        <v>122</v>
      </c>
      <c r="U38" s="21" t="s">
        <v>124</v>
      </c>
      <c r="V38" s="19"/>
      <c r="W38" s="19"/>
      <c r="X38" s="19"/>
      <c r="Y38" s="19"/>
      <c r="Z38" s="19"/>
      <c r="AA38" s="19"/>
      <c r="AB38" s="19"/>
      <c r="AC38" s="19"/>
      <c r="AD38" s="19"/>
      <c r="AE38" s="19"/>
      <c r="AF38" s="19"/>
      <c r="AG38" s="19"/>
      <c r="AH38" s="19"/>
      <c r="AI38" s="19"/>
      <c r="AJ38" s="19"/>
      <c r="AK38" s="19"/>
      <c r="AL38" s="19"/>
      <c r="AM38" s="19"/>
    </row>
    <row r="39">
      <c r="A39" s="23"/>
      <c r="B39" s="23"/>
      <c r="C39" s="23"/>
      <c r="D39" s="23"/>
      <c r="E39" s="23"/>
      <c r="F39" s="23"/>
      <c r="G39" s="23"/>
      <c r="H39" s="34" t="s">
        <v>352</v>
      </c>
      <c r="I39" s="15" t="str">
        <f t="shared" si="1"/>
        <v>https://youtube.com/embed/z3OXjK4mn3M</v>
      </c>
      <c r="J39" s="32" t="s">
        <v>353</v>
      </c>
      <c r="K39" s="33" t="s">
        <v>185</v>
      </c>
      <c r="L39" s="49" t="s">
        <v>378</v>
      </c>
      <c r="M39" s="17" t="s">
        <v>114</v>
      </c>
      <c r="N39" s="18"/>
      <c r="O39" s="18"/>
      <c r="P39" s="18"/>
      <c r="Q39" s="18"/>
      <c r="R39" s="18"/>
      <c r="S39" s="19"/>
      <c r="T39" s="21"/>
      <c r="U39" s="21"/>
      <c r="V39" s="19"/>
      <c r="W39" s="19"/>
      <c r="X39" s="19"/>
      <c r="Y39" s="19"/>
      <c r="Z39" s="19"/>
      <c r="AA39" s="19"/>
      <c r="AB39" s="19"/>
      <c r="AC39" s="19"/>
      <c r="AD39" s="19"/>
      <c r="AE39" s="19"/>
      <c r="AF39" s="19"/>
      <c r="AG39" s="19"/>
      <c r="AH39" s="19"/>
      <c r="AI39" s="19"/>
      <c r="AJ39" s="19"/>
      <c r="AK39" s="19"/>
      <c r="AL39" s="19"/>
      <c r="AM39" s="19"/>
    </row>
    <row r="40">
      <c r="A40" s="23"/>
      <c r="B40" s="23"/>
      <c r="C40" s="23"/>
      <c r="D40" s="23"/>
      <c r="E40" s="23"/>
      <c r="F40" s="23"/>
      <c r="G40" s="23"/>
      <c r="H40" s="34" t="s">
        <v>354</v>
      </c>
      <c r="I40" s="15" t="str">
        <f t="shared" si="1"/>
        <v>https://youtube.com/embed/k7pYtlmoTgY</v>
      </c>
      <c r="J40" s="32" t="s">
        <v>356</v>
      </c>
      <c r="K40" s="33" t="s">
        <v>192</v>
      </c>
      <c r="L40" s="49" t="s">
        <v>383</v>
      </c>
      <c r="M40" s="17" t="s">
        <v>114</v>
      </c>
      <c r="N40" s="18"/>
      <c r="O40" s="18"/>
      <c r="P40" s="18"/>
      <c r="Q40" s="18"/>
      <c r="R40" s="18"/>
      <c r="S40" s="19"/>
      <c r="T40" s="21"/>
      <c r="U40" s="21"/>
      <c r="V40" s="19"/>
      <c r="W40" s="19"/>
      <c r="X40" s="19"/>
      <c r="Y40" s="19"/>
      <c r="Z40" s="19"/>
      <c r="AA40" s="19"/>
      <c r="AB40" s="19"/>
      <c r="AC40" s="19"/>
      <c r="AD40" s="19"/>
      <c r="AE40" s="19"/>
      <c r="AF40" s="19"/>
      <c r="AG40" s="19"/>
      <c r="AH40" s="19"/>
      <c r="AI40" s="19"/>
      <c r="AJ40" s="19"/>
      <c r="AK40" s="19"/>
      <c r="AL40" s="19"/>
      <c r="AM40" s="19"/>
    </row>
    <row r="41">
      <c r="A41" s="27"/>
      <c r="B41" s="27"/>
      <c r="C41" s="27"/>
      <c r="D41" s="27"/>
      <c r="E41" s="27"/>
      <c r="F41" s="27"/>
      <c r="G41" s="27"/>
      <c r="H41" s="34" t="s">
        <v>357</v>
      </c>
      <c r="I41" s="15" t="str">
        <f t="shared" si="1"/>
        <v>https://youtube.com/embed/1ngKQh_nKpA</v>
      </c>
      <c r="J41" s="32" t="s">
        <v>358</v>
      </c>
      <c r="K41" s="33" t="s">
        <v>212</v>
      </c>
      <c r="L41" s="49" t="s">
        <v>386</v>
      </c>
      <c r="M41" s="17" t="s">
        <v>114</v>
      </c>
      <c r="N41" s="18"/>
      <c r="O41" s="18"/>
      <c r="P41" s="18"/>
      <c r="Q41" s="18"/>
      <c r="R41" s="18"/>
      <c r="S41" s="19"/>
      <c r="T41" s="21"/>
      <c r="U41" s="21"/>
      <c r="V41" s="19"/>
      <c r="W41" s="19"/>
      <c r="X41" s="19"/>
      <c r="Y41" s="19"/>
      <c r="Z41" s="19"/>
      <c r="AA41" s="19"/>
      <c r="AB41" s="19"/>
      <c r="AC41" s="19"/>
      <c r="AD41" s="19"/>
      <c r="AE41" s="19"/>
      <c r="AF41" s="19"/>
      <c r="AG41" s="19"/>
      <c r="AH41" s="19"/>
      <c r="AI41" s="19"/>
      <c r="AJ41" s="19"/>
      <c r="AK41" s="19"/>
      <c r="AL41" s="19"/>
      <c r="AM41" s="19"/>
    </row>
    <row r="42">
      <c r="A42" s="28" t="s">
        <v>359</v>
      </c>
      <c r="B42" s="26" t="str">
        <f>TRIM(MID(A42, SEARCH("- ", A42) + 2, LEN(A42)))
</f>
        <v>RESPONSABILIDAD PENAL EN MINERÍA</v>
      </c>
      <c r="C42" s="13" t="s">
        <v>77</v>
      </c>
      <c r="D42" s="13" t="s">
        <v>77</v>
      </c>
      <c r="E42" s="13" t="s">
        <v>77</v>
      </c>
      <c r="F42" s="13" t="s">
        <v>62</v>
      </c>
      <c r="G42" s="13" t="s">
        <v>77</v>
      </c>
      <c r="H42" s="57" t="s">
        <v>389</v>
      </c>
      <c r="I42" s="15" t="str">
        <f t="shared" si="1"/>
        <v>https://www.youtube.com/embed/WT87cCEYFRM</v>
      </c>
      <c r="J42" s="15" t="s">
        <v>363</v>
      </c>
      <c r="K42" s="33" t="s">
        <v>170</v>
      </c>
      <c r="L42" s="34" t="s">
        <v>393</v>
      </c>
      <c r="M42" s="17" t="s">
        <v>114</v>
      </c>
      <c r="N42" s="18"/>
      <c r="O42" s="18" t="s">
        <v>365</v>
      </c>
      <c r="P42" s="18" t="s">
        <v>366</v>
      </c>
      <c r="Q42" s="18" t="s">
        <v>367</v>
      </c>
      <c r="R42" s="18">
        <v>30.0</v>
      </c>
      <c r="S42" s="19"/>
      <c r="T42" s="21" t="s">
        <v>122</v>
      </c>
      <c r="U42" s="21" t="s">
        <v>124</v>
      </c>
      <c r="V42" s="19"/>
      <c r="W42" s="19"/>
      <c r="X42" s="19"/>
      <c r="Y42" s="19"/>
      <c r="Z42" s="19"/>
      <c r="AA42" s="19"/>
      <c r="AB42" s="19"/>
      <c r="AC42" s="19"/>
      <c r="AD42" s="19"/>
      <c r="AE42" s="19"/>
      <c r="AF42" s="19"/>
      <c r="AG42" s="19"/>
      <c r="AH42" s="19"/>
      <c r="AI42" s="19"/>
      <c r="AJ42" s="19"/>
      <c r="AK42" s="19"/>
      <c r="AL42" s="19"/>
      <c r="AM42" s="19"/>
    </row>
    <row r="43">
      <c r="A43" s="23"/>
      <c r="B43" s="23"/>
      <c r="C43" s="23"/>
      <c r="D43" s="23"/>
      <c r="E43" s="23"/>
      <c r="F43" s="23"/>
      <c r="G43" s="23"/>
      <c r="H43" s="34" t="s">
        <v>368</v>
      </c>
      <c r="I43" s="15" t="str">
        <f t="shared" si="1"/>
        <v>https://youtube.com/embed/1WFr2u8rKSU</v>
      </c>
      <c r="J43" s="15" t="s">
        <v>369</v>
      </c>
      <c r="K43" s="33" t="s">
        <v>185</v>
      </c>
      <c r="L43" s="34" t="s">
        <v>396</v>
      </c>
      <c r="M43" s="17" t="s">
        <v>114</v>
      </c>
      <c r="N43" s="18"/>
      <c r="O43" s="18"/>
      <c r="P43" s="18"/>
      <c r="Q43" s="18"/>
      <c r="R43" s="18"/>
      <c r="S43" s="19"/>
      <c r="T43" s="21"/>
      <c r="U43" s="21"/>
      <c r="V43" s="19"/>
      <c r="W43" s="19"/>
      <c r="X43" s="19"/>
      <c r="Y43" s="19"/>
      <c r="Z43" s="19"/>
      <c r="AA43" s="19"/>
      <c r="AB43" s="19"/>
      <c r="AC43" s="19"/>
      <c r="AD43" s="19"/>
      <c r="AE43" s="19"/>
      <c r="AF43" s="19"/>
      <c r="AG43" s="19"/>
      <c r="AH43" s="19"/>
      <c r="AI43" s="19"/>
      <c r="AJ43" s="19"/>
      <c r="AK43" s="19"/>
      <c r="AL43" s="19"/>
      <c r="AM43" s="19"/>
    </row>
    <row r="44">
      <c r="A44" s="23"/>
      <c r="B44" s="23"/>
      <c r="C44" s="23"/>
      <c r="D44" s="23"/>
      <c r="E44" s="23"/>
      <c r="F44" s="23"/>
      <c r="G44" s="23"/>
      <c r="H44" s="34" t="s">
        <v>371</v>
      </c>
      <c r="I44" s="15" t="str">
        <f t="shared" si="1"/>
        <v>https://youtube.com/embed/kyaj0F42pTU</v>
      </c>
      <c r="J44" s="15" t="s">
        <v>372</v>
      </c>
      <c r="K44" s="33" t="s">
        <v>192</v>
      </c>
      <c r="L44" s="34" t="s">
        <v>401</v>
      </c>
      <c r="M44" s="17" t="s">
        <v>114</v>
      </c>
      <c r="N44" s="18"/>
      <c r="O44" s="18"/>
      <c r="P44" s="18"/>
      <c r="Q44" s="18"/>
      <c r="R44" s="18"/>
      <c r="S44" s="19"/>
      <c r="T44" s="21"/>
      <c r="U44" s="21"/>
      <c r="V44" s="19"/>
      <c r="W44" s="19"/>
      <c r="X44" s="19"/>
      <c r="Y44" s="19"/>
      <c r="Z44" s="19"/>
      <c r="AA44" s="19"/>
      <c r="AB44" s="19"/>
      <c r="AC44" s="19"/>
      <c r="AD44" s="19"/>
      <c r="AE44" s="19"/>
      <c r="AF44" s="19"/>
      <c r="AG44" s="19"/>
      <c r="AH44" s="19"/>
      <c r="AI44" s="19"/>
      <c r="AJ44" s="19"/>
      <c r="AK44" s="19"/>
      <c r="AL44" s="19"/>
      <c r="AM44" s="19"/>
    </row>
    <row r="45">
      <c r="A45" s="27"/>
      <c r="B45" s="27"/>
      <c r="C45" s="27"/>
      <c r="D45" s="27"/>
      <c r="E45" s="27"/>
      <c r="F45" s="27"/>
      <c r="G45" s="27"/>
      <c r="H45" s="34" t="s">
        <v>373</v>
      </c>
      <c r="I45" s="15" t="str">
        <f t="shared" si="1"/>
        <v>https://youtube.com/embed/qdC2jgv49og</v>
      </c>
      <c r="J45" s="15" t="s">
        <v>374</v>
      </c>
      <c r="K45" s="33" t="s">
        <v>212</v>
      </c>
      <c r="L45" s="34" t="s">
        <v>404</v>
      </c>
      <c r="M45" s="17" t="s">
        <v>114</v>
      </c>
      <c r="N45" s="18"/>
      <c r="O45" s="18"/>
      <c r="P45" s="18"/>
      <c r="Q45" s="18"/>
      <c r="R45" s="18"/>
      <c r="S45" s="19"/>
      <c r="T45" s="21"/>
      <c r="U45" s="21"/>
      <c r="V45" s="19"/>
      <c r="W45" s="19"/>
      <c r="X45" s="19"/>
      <c r="Y45" s="19"/>
      <c r="Z45" s="19"/>
      <c r="AA45" s="19"/>
      <c r="AB45" s="19"/>
      <c r="AC45" s="19"/>
      <c r="AD45" s="19"/>
      <c r="AE45" s="19"/>
      <c r="AF45" s="19"/>
      <c r="AG45" s="19"/>
      <c r="AH45" s="19"/>
      <c r="AI45" s="19"/>
      <c r="AJ45" s="19"/>
      <c r="AK45" s="19"/>
      <c r="AL45" s="19"/>
      <c r="AM45" s="19"/>
    </row>
    <row r="46">
      <c r="A46" s="26" t="s">
        <v>375</v>
      </c>
      <c r="B46" s="26" t="str">
        <f>TRIM(MID(A46, SEARCH("- ", A46) + 2, LEN(A46)))
</f>
        <v>DERECHO LABORAL EN MINERÍA</v>
      </c>
      <c r="C46" s="13" t="s">
        <v>77</v>
      </c>
      <c r="D46" s="13" t="s">
        <v>77</v>
      </c>
      <c r="E46" s="13" t="s">
        <v>77</v>
      </c>
      <c r="F46" s="13" t="s">
        <v>62</v>
      </c>
      <c r="G46" s="13" t="s">
        <v>77</v>
      </c>
      <c r="H46" s="34" t="s">
        <v>377</v>
      </c>
      <c r="I46" s="15" t="str">
        <f t="shared" si="1"/>
        <v>https://youtube.com/embed/jLeuaX-G3Hs</v>
      </c>
      <c r="J46" s="15" t="s">
        <v>379</v>
      </c>
      <c r="K46" s="33" t="s">
        <v>170</v>
      </c>
      <c r="L46" s="34" t="s">
        <v>408</v>
      </c>
      <c r="M46" s="17" t="s">
        <v>114</v>
      </c>
      <c r="N46" s="18"/>
      <c r="O46" s="18" t="s">
        <v>380</v>
      </c>
      <c r="P46" s="18" t="s">
        <v>381</v>
      </c>
      <c r="Q46" s="18" t="s">
        <v>382</v>
      </c>
      <c r="R46" s="18">
        <v>30.0</v>
      </c>
      <c r="S46" s="19"/>
      <c r="T46" s="21" t="s">
        <v>122</v>
      </c>
      <c r="U46" s="21" t="s">
        <v>124</v>
      </c>
      <c r="V46" s="19"/>
      <c r="W46" s="19"/>
      <c r="X46" s="19"/>
      <c r="Y46" s="19"/>
      <c r="Z46" s="19"/>
      <c r="AA46" s="19"/>
      <c r="AB46" s="19"/>
      <c r="AC46" s="19"/>
      <c r="AD46" s="19"/>
      <c r="AE46" s="19"/>
      <c r="AF46" s="19"/>
      <c r="AG46" s="19"/>
      <c r="AH46" s="19"/>
      <c r="AI46" s="19"/>
      <c r="AJ46" s="19"/>
      <c r="AK46" s="19"/>
      <c r="AL46" s="19"/>
      <c r="AM46" s="19"/>
    </row>
    <row r="47">
      <c r="A47" s="23"/>
      <c r="B47" s="23"/>
      <c r="C47" s="23"/>
      <c r="D47" s="23"/>
      <c r="E47" s="23"/>
      <c r="F47" s="23"/>
      <c r="G47" s="23"/>
      <c r="H47" s="34" t="s">
        <v>384</v>
      </c>
      <c r="I47" s="15" t="str">
        <f t="shared" si="1"/>
        <v>https://youtube.com/embed/LD6oSbGfkFU</v>
      </c>
      <c r="J47" s="15" t="s">
        <v>385</v>
      </c>
      <c r="K47" s="33" t="s">
        <v>185</v>
      </c>
      <c r="L47" s="34" t="s">
        <v>411</v>
      </c>
      <c r="M47" s="17" t="s">
        <v>114</v>
      </c>
      <c r="N47" s="18"/>
      <c r="O47" s="18"/>
      <c r="P47" s="18"/>
      <c r="Q47" s="18"/>
      <c r="R47" s="18"/>
      <c r="S47" s="19"/>
      <c r="T47" s="21"/>
      <c r="U47" s="21"/>
      <c r="V47" s="19"/>
      <c r="W47" s="19"/>
      <c r="X47" s="19"/>
      <c r="Y47" s="19"/>
      <c r="Z47" s="19"/>
      <c r="AA47" s="19"/>
      <c r="AB47" s="19"/>
      <c r="AC47" s="19"/>
      <c r="AD47" s="19"/>
      <c r="AE47" s="19"/>
      <c r="AF47" s="19"/>
      <c r="AG47" s="19"/>
      <c r="AH47" s="19"/>
      <c r="AI47" s="19"/>
      <c r="AJ47" s="19"/>
      <c r="AK47" s="19"/>
      <c r="AL47" s="19"/>
      <c r="AM47" s="19"/>
    </row>
    <row r="48">
      <c r="A48" s="23"/>
      <c r="B48" s="23"/>
      <c r="C48" s="23"/>
      <c r="D48" s="23"/>
      <c r="E48" s="23"/>
      <c r="F48" s="23"/>
      <c r="G48" s="23"/>
      <c r="H48" s="34" t="s">
        <v>387</v>
      </c>
      <c r="I48" s="15" t="str">
        <f t="shared" si="1"/>
        <v>https://youtube.com/embed/F71dYyft28g</v>
      </c>
      <c r="J48" s="15" t="s">
        <v>388</v>
      </c>
      <c r="K48" s="33" t="s">
        <v>192</v>
      </c>
      <c r="L48" s="34" t="s">
        <v>414</v>
      </c>
      <c r="M48" s="17" t="s">
        <v>114</v>
      </c>
      <c r="N48" s="18"/>
      <c r="O48" s="18"/>
      <c r="P48" s="18"/>
      <c r="Q48" s="18"/>
      <c r="R48" s="18"/>
      <c r="S48" s="19"/>
      <c r="T48" s="21"/>
      <c r="U48" s="21"/>
      <c r="V48" s="19"/>
      <c r="W48" s="19"/>
      <c r="X48" s="19"/>
      <c r="Y48" s="19"/>
      <c r="Z48" s="19"/>
      <c r="AA48" s="19"/>
      <c r="AB48" s="19"/>
      <c r="AC48" s="19"/>
      <c r="AD48" s="19"/>
      <c r="AE48" s="19"/>
      <c r="AF48" s="19"/>
      <c r="AG48" s="19"/>
      <c r="AH48" s="19"/>
      <c r="AI48" s="19"/>
      <c r="AJ48" s="19"/>
      <c r="AK48" s="19"/>
      <c r="AL48" s="19"/>
      <c r="AM48" s="19"/>
    </row>
    <row r="49">
      <c r="A49" s="27"/>
      <c r="B49" s="27"/>
      <c r="C49" s="27"/>
      <c r="D49" s="27"/>
      <c r="E49" s="27"/>
      <c r="F49" s="27"/>
      <c r="G49" s="27"/>
      <c r="H49" s="34" t="s">
        <v>390</v>
      </c>
      <c r="I49" s="15" t="str">
        <f t="shared" si="1"/>
        <v>https://youtube.com/embed/aQYZnNVqr2c</v>
      </c>
      <c r="J49" s="15" t="s">
        <v>391</v>
      </c>
      <c r="K49" s="33" t="s">
        <v>212</v>
      </c>
      <c r="L49" s="34" t="s">
        <v>417</v>
      </c>
      <c r="M49" s="17" t="s">
        <v>114</v>
      </c>
      <c r="N49" s="18"/>
      <c r="O49" s="18"/>
      <c r="P49" s="18"/>
      <c r="Q49" s="18"/>
      <c r="R49" s="18"/>
      <c r="S49" s="19"/>
      <c r="T49" s="21"/>
      <c r="U49" s="21"/>
      <c r="V49" s="19"/>
      <c r="W49" s="19"/>
      <c r="X49" s="19"/>
      <c r="Y49" s="19"/>
      <c r="Z49" s="19"/>
      <c r="AA49" s="19"/>
      <c r="AB49" s="19"/>
      <c r="AC49" s="19"/>
      <c r="AD49" s="19"/>
      <c r="AE49" s="19"/>
      <c r="AF49" s="19"/>
      <c r="AG49" s="19"/>
      <c r="AH49" s="19"/>
      <c r="AI49" s="19"/>
      <c r="AJ49" s="19"/>
      <c r="AK49" s="19"/>
      <c r="AL49" s="19"/>
      <c r="AM49" s="19"/>
    </row>
    <row r="50">
      <c r="A50" s="28" t="s">
        <v>392</v>
      </c>
      <c r="B50" s="26" t="str">
        <f>TRIM(MID(A50, SEARCH("- ", A50) + 2, LEN(A50)))
</f>
        <v>TIPOS DE CONCESIONES MINERAS</v>
      </c>
      <c r="C50" s="13" t="s">
        <v>77</v>
      </c>
      <c r="D50" s="13" t="s">
        <v>77</v>
      </c>
      <c r="E50" s="13" t="s">
        <v>77</v>
      </c>
      <c r="F50" s="13" t="s">
        <v>62</v>
      </c>
      <c r="G50" s="13" t="s">
        <v>77</v>
      </c>
      <c r="H50" s="34" t="s">
        <v>394</v>
      </c>
      <c r="I50" s="15" t="str">
        <f t="shared" si="1"/>
        <v>https://youtube.com/embed/cDn_mKRjs_w</v>
      </c>
      <c r="J50" s="15" t="s">
        <v>395</v>
      </c>
      <c r="K50" s="33" t="s">
        <v>170</v>
      </c>
      <c r="L50" s="34" t="s">
        <v>421</v>
      </c>
      <c r="M50" s="17" t="s">
        <v>114</v>
      </c>
      <c r="N50" s="18"/>
      <c r="O50" s="18" t="s">
        <v>397</v>
      </c>
      <c r="P50" s="18" t="s">
        <v>382</v>
      </c>
      <c r="Q50" s="18" t="s">
        <v>398</v>
      </c>
      <c r="R50" s="18">
        <v>30.0</v>
      </c>
      <c r="S50" s="19"/>
      <c r="T50" s="21" t="s">
        <v>122</v>
      </c>
      <c r="U50" s="21" t="s">
        <v>124</v>
      </c>
      <c r="V50" s="19"/>
      <c r="W50" s="19"/>
      <c r="X50" s="19"/>
      <c r="Y50" s="19"/>
      <c r="Z50" s="19"/>
      <c r="AA50" s="19"/>
      <c r="AB50" s="19"/>
      <c r="AC50" s="19"/>
      <c r="AD50" s="19"/>
      <c r="AE50" s="19"/>
      <c r="AF50" s="19"/>
      <c r="AG50" s="19"/>
      <c r="AH50" s="19"/>
      <c r="AI50" s="19"/>
      <c r="AJ50" s="19"/>
      <c r="AK50" s="19"/>
      <c r="AL50" s="19"/>
      <c r="AM50" s="19"/>
    </row>
    <row r="51">
      <c r="A51" s="23"/>
      <c r="B51" s="23"/>
      <c r="C51" s="23"/>
      <c r="D51" s="23"/>
      <c r="E51" s="23"/>
      <c r="F51" s="23"/>
      <c r="G51" s="23"/>
      <c r="H51" s="34" t="s">
        <v>399</v>
      </c>
      <c r="I51" s="15" t="str">
        <f t="shared" si="1"/>
        <v>https://youtube.com/embed/Y_O1pmn5AI0</v>
      </c>
      <c r="J51" s="15" t="s">
        <v>400</v>
      </c>
      <c r="K51" s="33" t="s">
        <v>185</v>
      </c>
      <c r="L51" s="34" t="s">
        <v>424</v>
      </c>
      <c r="M51" s="17" t="s">
        <v>114</v>
      </c>
      <c r="N51" s="18"/>
      <c r="O51" s="18"/>
      <c r="P51" s="18"/>
      <c r="Q51" s="18"/>
      <c r="R51" s="18"/>
      <c r="S51" s="19"/>
      <c r="T51" s="21"/>
      <c r="U51" s="21"/>
      <c r="V51" s="19"/>
      <c r="W51" s="19"/>
      <c r="X51" s="19"/>
      <c r="Y51" s="19"/>
      <c r="Z51" s="19"/>
      <c r="AA51" s="19"/>
      <c r="AB51" s="19"/>
      <c r="AC51" s="19"/>
      <c r="AD51" s="19"/>
      <c r="AE51" s="19"/>
      <c r="AF51" s="19"/>
      <c r="AG51" s="19"/>
      <c r="AH51" s="19"/>
      <c r="AI51" s="19"/>
      <c r="AJ51" s="19"/>
      <c r="AK51" s="19"/>
      <c r="AL51" s="19"/>
      <c r="AM51" s="19"/>
    </row>
    <row r="52">
      <c r="A52" s="23"/>
      <c r="B52" s="23"/>
      <c r="C52" s="23"/>
      <c r="D52" s="23"/>
      <c r="E52" s="23"/>
      <c r="F52" s="23"/>
      <c r="G52" s="23"/>
      <c r="H52" s="34" t="s">
        <v>402</v>
      </c>
      <c r="I52" s="15" t="str">
        <f t="shared" si="1"/>
        <v>https://youtube.com/embed/aoz3cGZ19QA</v>
      </c>
      <c r="J52" s="15" t="s">
        <v>403</v>
      </c>
      <c r="K52" s="33" t="s">
        <v>192</v>
      </c>
      <c r="L52" s="34" t="s">
        <v>428</v>
      </c>
      <c r="M52" s="17" t="s">
        <v>114</v>
      </c>
      <c r="N52" s="18"/>
      <c r="O52" s="18"/>
      <c r="P52" s="18"/>
      <c r="Q52" s="18"/>
      <c r="R52" s="18"/>
      <c r="S52" s="19"/>
      <c r="T52" s="21"/>
      <c r="U52" s="21"/>
      <c r="V52" s="19"/>
      <c r="W52" s="19"/>
      <c r="X52" s="19"/>
      <c r="Y52" s="19"/>
      <c r="Z52" s="19"/>
      <c r="AA52" s="19"/>
      <c r="AB52" s="19"/>
      <c r="AC52" s="19"/>
      <c r="AD52" s="19"/>
      <c r="AE52" s="19"/>
      <c r="AF52" s="19"/>
      <c r="AG52" s="19"/>
      <c r="AH52" s="19"/>
      <c r="AI52" s="19"/>
      <c r="AJ52" s="19"/>
      <c r="AK52" s="19"/>
      <c r="AL52" s="19"/>
      <c r="AM52" s="19"/>
    </row>
    <row r="53">
      <c r="A53" s="27"/>
      <c r="B53" s="27"/>
      <c r="C53" s="27"/>
      <c r="D53" s="27"/>
      <c r="E53" s="27"/>
      <c r="F53" s="27"/>
      <c r="G53" s="27"/>
      <c r="H53" s="34" t="s">
        <v>405</v>
      </c>
      <c r="I53" s="15" t="str">
        <f t="shared" si="1"/>
        <v>https://youtube.com/embed/mC3gBQbSi8E</v>
      </c>
      <c r="J53" s="15" t="s">
        <v>406</v>
      </c>
      <c r="K53" s="33" t="s">
        <v>212</v>
      </c>
      <c r="L53" s="34" t="s">
        <v>431</v>
      </c>
      <c r="M53" s="17" t="s">
        <v>114</v>
      </c>
      <c r="N53" s="18"/>
      <c r="O53" s="18"/>
      <c r="P53" s="18"/>
      <c r="Q53" s="18"/>
      <c r="R53" s="18"/>
      <c r="S53" s="19"/>
      <c r="T53" s="21"/>
      <c r="U53" s="21"/>
      <c r="V53" s="19"/>
      <c r="W53" s="19"/>
      <c r="X53" s="19"/>
      <c r="Y53" s="19"/>
      <c r="Z53" s="19"/>
      <c r="AA53" s="19"/>
      <c r="AB53" s="19"/>
      <c r="AC53" s="19"/>
      <c r="AD53" s="19"/>
      <c r="AE53" s="19"/>
      <c r="AF53" s="19"/>
      <c r="AG53" s="19"/>
      <c r="AH53" s="19"/>
      <c r="AI53" s="19"/>
      <c r="AJ53" s="19"/>
      <c r="AK53" s="19"/>
      <c r="AL53" s="19"/>
      <c r="AM53" s="19"/>
    </row>
    <row r="54">
      <c r="A54" s="26" t="s">
        <v>407</v>
      </c>
      <c r="B54" s="26" t="str">
        <f>TRIM(MID(A54, SEARCH("- ", A54) + 2, LEN(A54)))
</f>
        <v>GESTIÓN DE CONTRATOS LOGÍSTICOS EN LA INDUSTRIA Y MINERÍA</v>
      </c>
      <c r="C54" s="13" t="s">
        <v>77</v>
      </c>
      <c r="D54" s="13" t="s">
        <v>77</v>
      </c>
      <c r="E54" s="13" t="s">
        <v>77</v>
      </c>
      <c r="F54" s="13" t="s">
        <v>63</v>
      </c>
      <c r="G54" s="13" t="s">
        <v>77</v>
      </c>
      <c r="H54" s="57" t="s">
        <v>435</v>
      </c>
      <c r="I54" s="15" t="str">
        <f t="shared" si="1"/>
        <v>https://youtube.com/embed/Axdv633ShjY</v>
      </c>
      <c r="J54" s="15" t="s">
        <v>410</v>
      </c>
      <c r="K54" s="33" t="s">
        <v>170</v>
      </c>
      <c r="L54" s="34" t="s">
        <v>438</v>
      </c>
      <c r="M54" s="17" t="s">
        <v>263</v>
      </c>
      <c r="N54" s="56" t="str">
        <f>"COMIENZA DICIENDO QUE ES EL RESUMEN DEL CURSO " &amp; B54 &amp; " DE EDUMIN, LUEGO HAZ EL RESUMEN Y FINALIZA INVITANDO A VER EL RESTO DE RECURSOS DE LAS ZONAS DE EDUMIN."</f>
        <v>COMIENZA DICIENDO QUE ES EL RESUMEN DEL CURSO GESTIÓN DE CONTRATOS LOGÍSTICOS EN LA INDUSTRIA Y MINERÍA DE EDUMIN, LUEGO HAZ EL RESUMEN Y FINALIZA INVITANDO A VER EL RESTO DE RECURSOS DE LAS ZONAS DE EDUMIN.</v>
      </c>
      <c r="O54" s="18" t="s">
        <v>397</v>
      </c>
      <c r="P54" s="18" t="s">
        <v>382</v>
      </c>
      <c r="Q54" s="18" t="s">
        <v>398</v>
      </c>
      <c r="R54" s="18">
        <v>30.0</v>
      </c>
      <c r="S54" s="19"/>
      <c r="T54" s="21" t="s">
        <v>122</v>
      </c>
      <c r="U54" s="21" t="s">
        <v>124</v>
      </c>
      <c r="V54" s="19"/>
      <c r="W54" s="19"/>
      <c r="X54" s="19"/>
      <c r="Y54" s="19"/>
      <c r="Z54" s="19"/>
      <c r="AA54" s="19"/>
      <c r="AB54" s="19"/>
      <c r="AC54" s="19"/>
      <c r="AD54" s="19"/>
      <c r="AE54" s="19"/>
      <c r="AF54" s="19"/>
      <c r="AG54" s="19"/>
      <c r="AH54" s="19"/>
      <c r="AI54" s="19"/>
      <c r="AJ54" s="19"/>
      <c r="AK54" s="19"/>
      <c r="AL54" s="19"/>
      <c r="AM54" s="19"/>
    </row>
    <row r="55">
      <c r="A55" s="23"/>
      <c r="B55" s="23"/>
      <c r="C55" s="23"/>
      <c r="D55" s="23"/>
      <c r="E55" s="23"/>
      <c r="F55" s="23"/>
      <c r="G55" s="23"/>
      <c r="H55" s="34" t="s">
        <v>412</v>
      </c>
      <c r="I55" s="15" t="str">
        <f t="shared" si="1"/>
        <v>https://youtube.com/embed/M8p1LNfXxbQ</v>
      </c>
      <c r="J55" s="15" t="s">
        <v>413</v>
      </c>
      <c r="K55" s="33" t="s">
        <v>185</v>
      </c>
      <c r="L55" s="34" t="s">
        <v>441</v>
      </c>
      <c r="M55" s="17" t="s">
        <v>263</v>
      </c>
      <c r="N55" s="37"/>
      <c r="O55" s="18"/>
      <c r="P55" s="18"/>
      <c r="Q55" s="18"/>
      <c r="R55" s="18"/>
      <c r="S55" s="19"/>
      <c r="T55" s="21"/>
      <c r="U55" s="21"/>
      <c r="V55" s="19"/>
      <c r="W55" s="19"/>
      <c r="X55" s="19"/>
      <c r="Y55" s="19"/>
      <c r="Z55" s="19"/>
      <c r="AA55" s="19"/>
      <c r="AB55" s="19"/>
      <c r="AC55" s="19"/>
      <c r="AD55" s="19"/>
      <c r="AE55" s="19"/>
      <c r="AF55" s="19"/>
      <c r="AG55" s="19"/>
      <c r="AH55" s="19"/>
      <c r="AI55" s="19"/>
      <c r="AJ55" s="19"/>
      <c r="AK55" s="19"/>
      <c r="AL55" s="19"/>
      <c r="AM55" s="19"/>
    </row>
    <row r="56">
      <c r="A56" s="23"/>
      <c r="B56" s="23"/>
      <c r="C56" s="23"/>
      <c r="D56" s="23"/>
      <c r="E56" s="23"/>
      <c r="F56" s="23"/>
      <c r="G56" s="23"/>
      <c r="H56" s="34" t="s">
        <v>415</v>
      </c>
      <c r="I56" s="15" t="str">
        <f t="shared" si="1"/>
        <v>https://youtube.com/embed/n5z9gs_SSEQ</v>
      </c>
      <c r="J56" s="15" t="s">
        <v>416</v>
      </c>
      <c r="K56" s="33" t="s">
        <v>192</v>
      </c>
      <c r="L56" s="34" t="s">
        <v>444</v>
      </c>
      <c r="M56" s="17" t="s">
        <v>263</v>
      </c>
      <c r="N56" s="37"/>
      <c r="O56" s="18"/>
      <c r="P56" s="18"/>
      <c r="Q56" s="18"/>
      <c r="R56" s="18"/>
      <c r="S56" s="19"/>
      <c r="T56" s="21"/>
      <c r="U56" s="21"/>
      <c r="V56" s="19"/>
      <c r="W56" s="19"/>
      <c r="X56" s="19"/>
      <c r="Y56" s="19"/>
      <c r="Z56" s="19"/>
      <c r="AA56" s="19"/>
      <c r="AB56" s="19"/>
      <c r="AC56" s="19"/>
      <c r="AD56" s="19"/>
      <c r="AE56" s="19"/>
      <c r="AF56" s="19"/>
      <c r="AG56" s="19"/>
      <c r="AH56" s="19"/>
      <c r="AI56" s="19"/>
      <c r="AJ56" s="19"/>
      <c r="AK56" s="19"/>
      <c r="AL56" s="19"/>
      <c r="AM56" s="19"/>
    </row>
    <row r="57">
      <c r="A57" s="27"/>
      <c r="B57" s="27"/>
      <c r="C57" s="27"/>
      <c r="D57" s="27"/>
      <c r="E57" s="27"/>
      <c r="F57" s="27"/>
      <c r="G57" s="27"/>
      <c r="H57" s="34" t="s">
        <v>418</v>
      </c>
      <c r="I57" s="15" t="str">
        <f t="shared" si="1"/>
        <v>https://youtube.com/embed/vlHcoDpvB5c</v>
      </c>
      <c r="J57" s="15" t="s">
        <v>419</v>
      </c>
      <c r="K57" s="33" t="s">
        <v>212</v>
      </c>
      <c r="L57" s="34" t="s">
        <v>447</v>
      </c>
      <c r="M57" s="17" t="s">
        <v>263</v>
      </c>
      <c r="N57" s="37"/>
      <c r="O57" s="18"/>
      <c r="P57" s="18"/>
      <c r="Q57" s="18"/>
      <c r="R57" s="18"/>
      <c r="S57" s="19"/>
      <c r="T57" s="21"/>
      <c r="U57" s="21"/>
      <c r="V57" s="19"/>
      <c r="W57" s="19"/>
      <c r="X57" s="19"/>
      <c r="Y57" s="19"/>
      <c r="Z57" s="19"/>
      <c r="AA57" s="19"/>
      <c r="AB57" s="19"/>
      <c r="AC57" s="19"/>
      <c r="AD57" s="19"/>
      <c r="AE57" s="19"/>
      <c r="AF57" s="19"/>
      <c r="AG57" s="19"/>
      <c r="AH57" s="19"/>
      <c r="AI57" s="19"/>
      <c r="AJ57" s="19"/>
      <c r="AK57" s="19"/>
      <c r="AL57" s="19"/>
      <c r="AM57" s="19"/>
    </row>
    <row r="58">
      <c r="A58" s="28" t="s">
        <v>420</v>
      </c>
      <c r="B58" s="26" t="str">
        <f>TRIM(MID(A58, SEARCH("- ", A58) + 2, LEN(A58)))
</f>
        <v>CURSO DE PREVENCIÓN DE RIESGOS</v>
      </c>
      <c r="C58" s="13" t="s">
        <v>77</v>
      </c>
      <c r="D58" s="13" t="s">
        <v>77</v>
      </c>
      <c r="E58" s="13" t="s">
        <v>77</v>
      </c>
      <c r="F58" s="13" t="s">
        <v>65</v>
      </c>
      <c r="G58" s="13" t="s">
        <v>77</v>
      </c>
      <c r="H58" s="57" t="s">
        <v>450</v>
      </c>
      <c r="I58" s="15" t="str">
        <f t="shared" si="1"/>
        <v>https://www.youtube.com/embed/p1a7r_YmrdA</v>
      </c>
      <c r="J58" s="32" t="s">
        <v>423</v>
      </c>
      <c r="K58" s="33" t="s">
        <v>170</v>
      </c>
      <c r="L58" s="49" t="s">
        <v>453</v>
      </c>
      <c r="M58" s="17" t="s">
        <v>425</v>
      </c>
      <c r="N58" s="18"/>
      <c r="O58" s="18" t="s">
        <v>397</v>
      </c>
      <c r="P58" s="18" t="s">
        <v>382</v>
      </c>
      <c r="Q58" s="18" t="s">
        <v>398</v>
      </c>
      <c r="R58" s="18">
        <v>30.0</v>
      </c>
      <c r="S58" s="19"/>
      <c r="T58" s="21" t="s">
        <v>122</v>
      </c>
      <c r="U58" s="21" t="s">
        <v>124</v>
      </c>
      <c r="V58" s="19"/>
      <c r="W58" s="19"/>
      <c r="X58" s="19"/>
      <c r="Y58" s="19"/>
      <c r="Z58" s="19"/>
      <c r="AA58" s="19"/>
      <c r="AB58" s="19"/>
      <c r="AC58" s="19"/>
      <c r="AD58" s="19"/>
      <c r="AE58" s="19"/>
      <c r="AF58" s="19"/>
      <c r="AG58" s="19"/>
      <c r="AH58" s="19"/>
      <c r="AI58" s="19"/>
      <c r="AJ58" s="19"/>
      <c r="AK58" s="19"/>
      <c r="AL58" s="19"/>
      <c r="AM58" s="19"/>
    </row>
    <row r="59">
      <c r="A59" s="23"/>
      <c r="B59" s="23"/>
      <c r="C59" s="23"/>
      <c r="D59" s="23"/>
      <c r="E59" s="23"/>
      <c r="F59" s="23"/>
      <c r="G59" s="23"/>
      <c r="H59" s="34" t="s">
        <v>426</v>
      </c>
      <c r="I59" s="15" t="str">
        <f t="shared" si="1"/>
        <v>https://www.youtube.com/embed/0FfbK6RZ22M</v>
      </c>
      <c r="J59" s="32" t="s">
        <v>427</v>
      </c>
      <c r="K59" s="33" t="s">
        <v>185</v>
      </c>
      <c r="L59" s="49" t="s">
        <v>457</v>
      </c>
      <c r="M59" s="17" t="s">
        <v>114</v>
      </c>
      <c r="N59" s="18"/>
      <c r="O59" s="18"/>
      <c r="P59" s="18"/>
      <c r="Q59" s="18"/>
      <c r="R59" s="18"/>
      <c r="S59" s="19"/>
      <c r="T59" s="21"/>
      <c r="U59" s="21"/>
      <c r="V59" s="19"/>
      <c r="W59" s="19"/>
      <c r="X59" s="19"/>
      <c r="Y59" s="19"/>
      <c r="Z59" s="19"/>
      <c r="AA59" s="19"/>
      <c r="AB59" s="19"/>
      <c r="AC59" s="19"/>
      <c r="AD59" s="19"/>
      <c r="AE59" s="19"/>
      <c r="AF59" s="19"/>
      <c r="AG59" s="19"/>
      <c r="AH59" s="19"/>
      <c r="AI59" s="19"/>
      <c r="AJ59" s="19"/>
      <c r="AK59" s="19"/>
      <c r="AL59" s="19"/>
      <c r="AM59" s="19"/>
    </row>
    <row r="60">
      <c r="A60" s="23"/>
      <c r="B60" s="23"/>
      <c r="C60" s="23"/>
      <c r="D60" s="23"/>
      <c r="E60" s="23"/>
      <c r="F60" s="23"/>
      <c r="G60" s="23"/>
      <c r="H60" s="34" t="s">
        <v>429</v>
      </c>
      <c r="I60" s="15" t="str">
        <f t="shared" si="1"/>
        <v>https://youtube.com/embed/HqDKhmbPYno</v>
      </c>
      <c r="J60" s="32" t="s">
        <v>430</v>
      </c>
      <c r="K60" s="33" t="s">
        <v>192</v>
      </c>
      <c r="L60" s="49" t="s">
        <v>460</v>
      </c>
      <c r="M60" s="17" t="s">
        <v>114</v>
      </c>
      <c r="N60" s="18"/>
      <c r="O60" s="18"/>
      <c r="P60" s="18"/>
      <c r="Q60" s="18"/>
      <c r="R60" s="18"/>
      <c r="S60" s="19"/>
      <c r="T60" s="21"/>
      <c r="U60" s="21"/>
      <c r="V60" s="19"/>
      <c r="W60" s="19"/>
      <c r="X60" s="19"/>
      <c r="Y60" s="19"/>
      <c r="Z60" s="19"/>
      <c r="AA60" s="19"/>
      <c r="AB60" s="19"/>
      <c r="AC60" s="19"/>
      <c r="AD60" s="19"/>
      <c r="AE60" s="19"/>
      <c r="AF60" s="19"/>
      <c r="AG60" s="19"/>
      <c r="AH60" s="19"/>
      <c r="AI60" s="19"/>
      <c r="AJ60" s="19"/>
      <c r="AK60" s="19"/>
      <c r="AL60" s="19"/>
      <c r="AM60" s="19"/>
    </row>
    <row r="61">
      <c r="A61" s="27"/>
      <c r="B61" s="27"/>
      <c r="C61" s="27"/>
      <c r="D61" s="27"/>
      <c r="E61" s="27"/>
      <c r="F61" s="27"/>
      <c r="G61" s="27"/>
      <c r="H61" s="34" t="s">
        <v>432</v>
      </c>
      <c r="I61" s="15" t="str">
        <f t="shared" si="1"/>
        <v>https://youtube.com/embed/NWAm7TKvVXg</v>
      </c>
      <c r="J61" s="32" t="s">
        <v>433</v>
      </c>
      <c r="K61" s="33" t="s">
        <v>212</v>
      </c>
      <c r="L61" s="49" t="s">
        <v>462</v>
      </c>
      <c r="M61" s="17" t="s">
        <v>114</v>
      </c>
      <c r="N61" s="18"/>
      <c r="O61" s="18"/>
      <c r="P61" s="18"/>
      <c r="Q61" s="18"/>
      <c r="R61" s="18"/>
      <c r="S61" s="19"/>
      <c r="T61" s="21"/>
      <c r="U61" s="21"/>
      <c r="V61" s="19"/>
      <c r="W61" s="19"/>
      <c r="X61" s="19"/>
      <c r="Y61" s="19"/>
      <c r="Z61" s="19"/>
      <c r="AA61" s="19"/>
      <c r="AB61" s="19"/>
      <c r="AC61" s="19"/>
      <c r="AD61" s="19"/>
      <c r="AE61" s="19"/>
      <c r="AF61" s="19"/>
      <c r="AG61" s="19"/>
      <c r="AH61" s="19"/>
      <c r="AI61" s="19"/>
      <c r="AJ61" s="19"/>
      <c r="AK61" s="19"/>
      <c r="AL61" s="19"/>
      <c r="AM61" s="19"/>
    </row>
    <row r="62">
      <c r="A62" s="28" t="s">
        <v>434</v>
      </c>
      <c r="B62" s="26" t="str">
        <f>TRIM(MID(A62, SEARCH("- ", A62) + 2, LEN(A62)))
</f>
        <v>IMPLEMENTACIÓN DE LA ISO 45001:2018</v>
      </c>
      <c r="C62" s="13" t="s">
        <v>77</v>
      </c>
      <c r="D62" s="13" t="s">
        <v>77</v>
      </c>
      <c r="E62" s="13" t="s">
        <v>77</v>
      </c>
      <c r="F62" s="13" t="s">
        <v>65</v>
      </c>
      <c r="G62" s="13" t="s">
        <v>77</v>
      </c>
      <c r="H62" s="34" t="s">
        <v>436</v>
      </c>
      <c r="I62" s="15" t="str">
        <f t="shared" si="1"/>
        <v>https://youtube.com/embed/TO8myacc6OY</v>
      </c>
      <c r="J62" s="32" t="s">
        <v>437</v>
      </c>
      <c r="K62" s="33" t="s">
        <v>170</v>
      </c>
      <c r="L62" s="49" t="s">
        <v>466</v>
      </c>
      <c r="M62" s="17" t="s">
        <v>114</v>
      </c>
      <c r="N62" s="18"/>
      <c r="O62" s="18" t="s">
        <v>380</v>
      </c>
      <c r="P62" s="18" t="s">
        <v>381</v>
      </c>
      <c r="Q62" s="18" t="s">
        <v>382</v>
      </c>
      <c r="R62" s="18">
        <v>30.0</v>
      </c>
      <c r="S62" s="19"/>
      <c r="T62" s="21" t="s">
        <v>122</v>
      </c>
      <c r="U62" s="21" t="s">
        <v>124</v>
      </c>
      <c r="V62" s="19"/>
      <c r="W62" s="19"/>
      <c r="X62" s="19"/>
      <c r="Y62" s="19"/>
      <c r="Z62" s="19"/>
      <c r="AA62" s="19"/>
      <c r="AB62" s="19"/>
      <c r="AC62" s="19"/>
      <c r="AD62" s="19"/>
      <c r="AE62" s="19"/>
      <c r="AF62" s="19"/>
      <c r="AG62" s="19"/>
      <c r="AH62" s="19"/>
      <c r="AI62" s="19"/>
      <c r="AJ62" s="19"/>
      <c r="AK62" s="19"/>
      <c r="AL62" s="19"/>
      <c r="AM62" s="19"/>
    </row>
    <row r="63">
      <c r="A63" s="23"/>
      <c r="B63" s="23"/>
      <c r="C63" s="23"/>
      <c r="D63" s="23"/>
      <c r="E63" s="23"/>
      <c r="F63" s="23"/>
      <c r="G63" s="23"/>
      <c r="H63" s="57" t="s">
        <v>468</v>
      </c>
      <c r="I63" s="15" t="str">
        <f t="shared" si="1"/>
        <v>https://www.youtube.com/embed/E6FpvYBkSKw</v>
      </c>
      <c r="J63" s="32" t="s">
        <v>440</v>
      </c>
      <c r="K63" s="33" t="s">
        <v>185</v>
      </c>
      <c r="L63" s="49" t="s">
        <v>471</v>
      </c>
      <c r="M63" s="17" t="s">
        <v>114</v>
      </c>
      <c r="N63" s="18"/>
      <c r="O63" s="18"/>
      <c r="P63" s="18"/>
      <c r="Q63" s="18"/>
      <c r="R63" s="18"/>
      <c r="S63" s="19"/>
      <c r="T63" s="21"/>
      <c r="U63" s="21"/>
      <c r="V63" s="19"/>
      <c r="W63" s="19"/>
      <c r="X63" s="19"/>
      <c r="Y63" s="19"/>
      <c r="Z63" s="19"/>
      <c r="AA63" s="19"/>
      <c r="AB63" s="19"/>
      <c r="AC63" s="19"/>
      <c r="AD63" s="19"/>
      <c r="AE63" s="19"/>
      <c r="AF63" s="19"/>
      <c r="AG63" s="19"/>
      <c r="AH63" s="19"/>
      <c r="AI63" s="19"/>
      <c r="AJ63" s="19"/>
      <c r="AK63" s="19"/>
      <c r="AL63" s="19"/>
      <c r="AM63" s="19"/>
    </row>
    <row r="64">
      <c r="A64" s="23"/>
      <c r="B64" s="23"/>
      <c r="C64" s="23"/>
      <c r="D64" s="23"/>
      <c r="E64" s="23"/>
      <c r="F64" s="23"/>
      <c r="G64" s="23"/>
      <c r="H64" s="34" t="s">
        <v>442</v>
      </c>
      <c r="I64" s="15" t="str">
        <f t="shared" si="1"/>
        <v>https://youtube.com/embed/HlQkA5dlHf4</v>
      </c>
      <c r="J64" s="32" t="s">
        <v>443</v>
      </c>
      <c r="K64" s="33" t="s">
        <v>192</v>
      </c>
      <c r="L64" s="49" t="s">
        <v>474</v>
      </c>
      <c r="M64" s="17" t="s">
        <v>114</v>
      </c>
      <c r="N64" s="18"/>
      <c r="O64" s="18"/>
      <c r="P64" s="18"/>
      <c r="Q64" s="18"/>
      <c r="R64" s="18"/>
      <c r="S64" s="19"/>
      <c r="T64" s="21"/>
      <c r="U64" s="21"/>
      <c r="V64" s="19"/>
      <c r="W64" s="19"/>
      <c r="X64" s="19"/>
      <c r="Y64" s="19"/>
      <c r="Z64" s="19"/>
      <c r="AA64" s="19"/>
      <c r="AB64" s="19"/>
      <c r="AC64" s="19"/>
      <c r="AD64" s="19"/>
      <c r="AE64" s="19"/>
      <c r="AF64" s="19"/>
      <c r="AG64" s="19"/>
      <c r="AH64" s="19"/>
      <c r="AI64" s="19"/>
      <c r="AJ64" s="19"/>
      <c r="AK64" s="19"/>
      <c r="AL64" s="19"/>
      <c r="AM64" s="19"/>
    </row>
    <row r="65">
      <c r="A65" s="27"/>
      <c r="B65" s="27"/>
      <c r="C65" s="27"/>
      <c r="D65" s="27"/>
      <c r="E65" s="27"/>
      <c r="F65" s="27"/>
      <c r="G65" s="27"/>
      <c r="H65" s="34" t="s">
        <v>445</v>
      </c>
      <c r="I65" s="15" t="str">
        <f t="shared" si="1"/>
        <v>https://youtube.com/embed/E9Xsqn780Xg</v>
      </c>
      <c r="J65" s="32" t="s">
        <v>446</v>
      </c>
      <c r="K65" s="33" t="s">
        <v>212</v>
      </c>
      <c r="L65" s="49" t="s">
        <v>478</v>
      </c>
      <c r="M65" s="17" t="s">
        <v>114</v>
      </c>
      <c r="N65" s="18"/>
      <c r="O65" s="18"/>
      <c r="P65" s="18"/>
      <c r="Q65" s="18"/>
      <c r="R65" s="18"/>
      <c r="S65" s="19"/>
      <c r="T65" s="21"/>
      <c r="U65" s="21"/>
      <c r="V65" s="19"/>
      <c r="W65" s="19"/>
      <c r="X65" s="19"/>
      <c r="Y65" s="19"/>
      <c r="Z65" s="19"/>
      <c r="AA65" s="19"/>
      <c r="AB65" s="19"/>
      <c r="AC65" s="19"/>
      <c r="AD65" s="19"/>
      <c r="AE65" s="19"/>
      <c r="AF65" s="19"/>
      <c r="AG65" s="19"/>
      <c r="AH65" s="19"/>
      <c r="AI65" s="19"/>
      <c r="AJ65" s="19"/>
      <c r="AK65" s="19"/>
      <c r="AL65" s="19"/>
      <c r="AM65" s="19"/>
    </row>
    <row r="66">
      <c r="A66" s="28" t="s">
        <v>448</v>
      </c>
      <c r="B66" s="26" t="str">
        <f>TRIM(MID(A66, SEARCH("- ", A66) + 2, LEN(A66)))
</f>
        <v>GESTIÓN DE EMERGENCIAS EN INDUSTRIA Y MINERÍA</v>
      </c>
      <c r="C66" s="13" t="s">
        <v>77</v>
      </c>
      <c r="D66" s="13" t="s">
        <v>77</v>
      </c>
      <c r="E66" s="13" t="s">
        <v>77</v>
      </c>
      <c r="F66" s="13" t="s">
        <v>65</v>
      </c>
      <c r="G66" s="13" t="s">
        <v>77</v>
      </c>
      <c r="H66" s="34" t="s">
        <v>449</v>
      </c>
      <c r="I66" s="15" t="str">
        <f t="shared" si="1"/>
        <v>https://youtube.com/embed/mb0L2PI7s_c</v>
      </c>
      <c r="J66" s="32" t="s">
        <v>451</v>
      </c>
      <c r="K66" s="33" t="s">
        <v>170</v>
      </c>
      <c r="L66" s="49" t="s">
        <v>482</v>
      </c>
      <c r="M66" s="17" t="s">
        <v>425</v>
      </c>
      <c r="N66" s="18"/>
      <c r="O66" s="18" t="s">
        <v>380</v>
      </c>
      <c r="P66" s="18" t="s">
        <v>381</v>
      </c>
      <c r="Q66" s="18" t="s">
        <v>382</v>
      </c>
      <c r="R66" s="18">
        <v>30.0</v>
      </c>
      <c r="S66" s="19"/>
      <c r="T66" s="21" t="s">
        <v>122</v>
      </c>
      <c r="U66" s="21" t="s">
        <v>124</v>
      </c>
      <c r="V66" s="19"/>
      <c r="W66" s="19"/>
      <c r="X66" s="19"/>
      <c r="Y66" s="19"/>
      <c r="Z66" s="19"/>
      <c r="AA66" s="19"/>
      <c r="AB66" s="19"/>
      <c r="AC66" s="19"/>
      <c r="AD66" s="19"/>
      <c r="AE66" s="19"/>
      <c r="AF66" s="19"/>
      <c r="AG66" s="19"/>
      <c r="AH66" s="19"/>
      <c r="AI66" s="19"/>
      <c r="AJ66" s="19"/>
      <c r="AK66" s="19"/>
      <c r="AL66" s="19"/>
      <c r="AM66" s="19"/>
    </row>
    <row r="67">
      <c r="A67" s="23"/>
      <c r="B67" s="23"/>
      <c r="C67" s="23"/>
      <c r="D67" s="23"/>
      <c r="E67" s="23"/>
      <c r="F67" s="23"/>
      <c r="G67" s="23"/>
      <c r="H67" s="34" t="s">
        <v>452</v>
      </c>
      <c r="I67" s="15" t="str">
        <f t="shared" si="1"/>
        <v>https://youtube.com/embed/IL_gbYIdcoo</v>
      </c>
      <c r="J67" s="32" t="s">
        <v>454</v>
      </c>
      <c r="K67" s="33" t="s">
        <v>185</v>
      </c>
      <c r="L67" s="49" t="s">
        <v>485</v>
      </c>
      <c r="M67" s="17" t="s">
        <v>114</v>
      </c>
      <c r="N67" s="18"/>
      <c r="O67" s="18"/>
      <c r="P67" s="18"/>
      <c r="Q67" s="18"/>
      <c r="R67" s="18"/>
      <c r="S67" s="19"/>
      <c r="T67" s="21"/>
      <c r="U67" s="21"/>
      <c r="V67" s="19"/>
      <c r="W67" s="19"/>
      <c r="X67" s="19"/>
      <c r="Y67" s="19"/>
      <c r="Z67" s="19"/>
      <c r="AA67" s="19"/>
      <c r="AB67" s="19"/>
      <c r="AC67" s="19"/>
      <c r="AD67" s="19"/>
      <c r="AE67" s="19"/>
      <c r="AF67" s="19"/>
      <c r="AG67" s="19"/>
      <c r="AH67" s="19"/>
      <c r="AI67" s="19"/>
      <c r="AJ67" s="19"/>
      <c r="AK67" s="19"/>
      <c r="AL67" s="19"/>
      <c r="AM67" s="19"/>
    </row>
    <row r="68">
      <c r="A68" s="23"/>
      <c r="B68" s="23"/>
      <c r="C68" s="23"/>
      <c r="D68" s="23"/>
      <c r="E68" s="23"/>
      <c r="F68" s="23"/>
      <c r="G68" s="23"/>
      <c r="H68" s="34" t="s">
        <v>455</v>
      </c>
      <c r="I68" s="15" t="str">
        <f t="shared" si="1"/>
        <v>https://youtube.com/embed/JuTDWiaNQ_Q</v>
      </c>
      <c r="J68" s="32" t="s">
        <v>456</v>
      </c>
      <c r="K68" s="33" t="s">
        <v>192</v>
      </c>
      <c r="L68" s="49" t="s">
        <v>488</v>
      </c>
      <c r="M68" s="17" t="s">
        <v>114</v>
      </c>
      <c r="N68" s="18"/>
      <c r="O68" s="18"/>
      <c r="P68" s="18"/>
      <c r="Q68" s="18"/>
      <c r="R68" s="18"/>
      <c r="S68" s="19"/>
      <c r="T68" s="21"/>
      <c r="U68" s="21"/>
      <c r="V68" s="19"/>
      <c r="W68" s="19"/>
      <c r="X68" s="19"/>
      <c r="Y68" s="19"/>
      <c r="Z68" s="19"/>
      <c r="AA68" s="19"/>
      <c r="AB68" s="19"/>
      <c r="AC68" s="19"/>
      <c r="AD68" s="19"/>
      <c r="AE68" s="19"/>
      <c r="AF68" s="19"/>
      <c r="AG68" s="19"/>
      <c r="AH68" s="19"/>
      <c r="AI68" s="19"/>
      <c r="AJ68" s="19"/>
      <c r="AK68" s="19"/>
      <c r="AL68" s="19"/>
      <c r="AM68" s="19"/>
    </row>
    <row r="69">
      <c r="A69" s="27"/>
      <c r="B69" s="27"/>
      <c r="C69" s="27"/>
      <c r="D69" s="27"/>
      <c r="E69" s="27"/>
      <c r="F69" s="27"/>
      <c r="G69" s="27"/>
      <c r="H69" s="34" t="s">
        <v>458</v>
      </c>
      <c r="I69" s="15" t="str">
        <f t="shared" si="1"/>
        <v>https://youtube.com/embed/KCi0XIqlWfw</v>
      </c>
      <c r="J69" s="32" t="s">
        <v>459</v>
      </c>
      <c r="K69" s="33" t="s">
        <v>212</v>
      </c>
      <c r="L69" s="49" t="s">
        <v>490</v>
      </c>
      <c r="M69" s="17" t="s">
        <v>114</v>
      </c>
      <c r="N69" s="18"/>
      <c r="O69" s="18"/>
      <c r="P69" s="18"/>
      <c r="Q69" s="18"/>
      <c r="R69" s="18"/>
      <c r="S69" s="19"/>
      <c r="T69" s="21"/>
      <c r="U69" s="21"/>
      <c r="V69" s="19"/>
      <c r="W69" s="19"/>
      <c r="X69" s="19"/>
      <c r="Y69" s="19"/>
      <c r="Z69" s="19"/>
      <c r="AA69" s="19"/>
      <c r="AB69" s="19"/>
      <c r="AC69" s="19"/>
      <c r="AD69" s="19"/>
      <c r="AE69" s="19"/>
      <c r="AF69" s="19"/>
      <c r="AG69" s="19"/>
      <c r="AH69" s="19"/>
      <c r="AI69" s="19"/>
      <c r="AJ69" s="19"/>
      <c r="AK69" s="19"/>
      <c r="AL69" s="19"/>
      <c r="AM69" s="19"/>
    </row>
    <row r="70">
      <c r="A70" s="28" t="s">
        <v>461</v>
      </c>
      <c r="B70" s="26" t="str">
        <f>TRIM(MID(A70, SEARCH("- ", A70) + 2, LEN(A70)))
</f>
        <v>GESTIÓN DE INVENTARIOS EN INDUSTRIA Y MINERÍA</v>
      </c>
      <c r="C70" s="13" t="s">
        <v>77</v>
      </c>
      <c r="D70" s="13" t="s">
        <v>77</v>
      </c>
      <c r="E70" s="13" t="s">
        <v>77</v>
      </c>
      <c r="F70" s="13" t="s">
        <v>63</v>
      </c>
      <c r="G70" s="13" t="s">
        <v>77</v>
      </c>
      <c r="H70" s="57" t="s">
        <v>492</v>
      </c>
      <c r="I70" s="15" t="str">
        <f t="shared" si="1"/>
        <v>https://youtube.com/embed/tQ53yAu_Zf4</v>
      </c>
      <c r="J70" s="15" t="s">
        <v>464</v>
      </c>
      <c r="K70" s="33" t="s">
        <v>170</v>
      </c>
      <c r="L70" s="34" t="s">
        <v>495</v>
      </c>
      <c r="M70" s="17" t="s">
        <v>263</v>
      </c>
      <c r="N70" s="56" t="str">
        <f>"COMIENZA DICIENDO QUE ES EL RESUMEN DEL CURSO " &amp; B70 &amp; " DE EDUMIN, LUEGO HAZ EL RESUMEN Y FINALIZA INVITANDO A VER EL RESTO DE RECURSOS DE LAS ZONAS DE EDUMIN."</f>
        <v>COMIENZA DICIENDO QUE ES EL RESUMEN DEL CURSO GESTIÓN DE INVENTARIOS EN INDUSTRIA Y MINERÍA DE EDUMIN, LUEGO HAZ EL RESUMEN Y FINALIZA INVITANDO A VER EL RESTO DE RECURSOS DE LAS ZONAS DE EDUMIN.</v>
      </c>
      <c r="O70" s="18" t="s">
        <v>380</v>
      </c>
      <c r="P70" s="18" t="s">
        <v>381</v>
      </c>
      <c r="Q70" s="18" t="s">
        <v>382</v>
      </c>
      <c r="R70" s="18">
        <v>30.0</v>
      </c>
      <c r="S70" s="19"/>
      <c r="T70" s="21" t="s">
        <v>122</v>
      </c>
      <c r="U70" s="21" t="s">
        <v>124</v>
      </c>
      <c r="V70" s="19"/>
      <c r="W70" s="19"/>
      <c r="X70" s="19"/>
      <c r="Y70" s="19"/>
      <c r="Z70" s="19"/>
      <c r="AA70" s="19"/>
      <c r="AB70" s="19"/>
      <c r="AC70" s="19"/>
      <c r="AD70" s="19"/>
      <c r="AE70" s="19"/>
      <c r="AF70" s="19"/>
      <c r="AG70" s="19"/>
      <c r="AH70" s="19"/>
      <c r="AI70" s="19"/>
      <c r="AJ70" s="19"/>
      <c r="AK70" s="19"/>
      <c r="AL70" s="19"/>
      <c r="AM70" s="19"/>
    </row>
    <row r="71">
      <c r="A71" s="23"/>
      <c r="B71" s="23"/>
      <c r="C71" s="23"/>
      <c r="D71" s="23"/>
      <c r="E71" s="23"/>
      <c r="F71" s="23"/>
      <c r="G71" s="23"/>
      <c r="H71" s="34" t="s">
        <v>465</v>
      </c>
      <c r="I71" s="15" t="str">
        <f t="shared" si="1"/>
        <v>https://youtube.com/embed/LN9iVEIEs9U</v>
      </c>
      <c r="J71" s="15" t="s">
        <v>467</v>
      </c>
      <c r="K71" s="33" t="s">
        <v>185</v>
      </c>
      <c r="L71" s="34" t="s">
        <v>500</v>
      </c>
      <c r="M71" s="17" t="s">
        <v>263</v>
      </c>
      <c r="N71" s="37"/>
      <c r="O71" s="18"/>
      <c r="P71" s="18"/>
      <c r="Q71" s="18"/>
      <c r="R71" s="18"/>
      <c r="S71" s="19"/>
      <c r="T71" s="21"/>
      <c r="U71" s="21"/>
      <c r="V71" s="19"/>
      <c r="W71" s="19"/>
      <c r="X71" s="19"/>
      <c r="Y71" s="19"/>
      <c r="Z71" s="19"/>
      <c r="AA71" s="19"/>
      <c r="AB71" s="19"/>
      <c r="AC71" s="19"/>
      <c r="AD71" s="19"/>
      <c r="AE71" s="19"/>
      <c r="AF71" s="19"/>
      <c r="AG71" s="19"/>
      <c r="AH71" s="19"/>
      <c r="AI71" s="19"/>
      <c r="AJ71" s="19"/>
      <c r="AK71" s="19"/>
      <c r="AL71" s="19"/>
      <c r="AM71" s="19"/>
    </row>
    <row r="72">
      <c r="A72" s="23"/>
      <c r="B72" s="23"/>
      <c r="C72" s="23"/>
      <c r="D72" s="23"/>
      <c r="E72" s="23"/>
      <c r="F72" s="23"/>
      <c r="G72" s="23"/>
      <c r="H72" s="34" t="s">
        <v>469</v>
      </c>
      <c r="I72" s="15" t="str">
        <f t="shared" si="1"/>
        <v>https://youtube.com/embed/3HL99bvtxyI</v>
      </c>
      <c r="J72" s="15" t="s">
        <v>470</v>
      </c>
      <c r="K72" s="33" t="s">
        <v>192</v>
      </c>
      <c r="L72" s="34" t="s">
        <v>502</v>
      </c>
      <c r="M72" s="17" t="s">
        <v>263</v>
      </c>
      <c r="N72" s="37"/>
      <c r="O72" s="18"/>
      <c r="P72" s="18"/>
      <c r="Q72" s="18"/>
      <c r="R72" s="18"/>
      <c r="S72" s="19"/>
      <c r="T72" s="21"/>
      <c r="U72" s="21"/>
      <c r="V72" s="19"/>
      <c r="W72" s="19"/>
      <c r="X72" s="19"/>
      <c r="Y72" s="19"/>
      <c r="Z72" s="19"/>
      <c r="AA72" s="19"/>
      <c r="AB72" s="19"/>
      <c r="AC72" s="19"/>
      <c r="AD72" s="19"/>
      <c r="AE72" s="19"/>
      <c r="AF72" s="19"/>
      <c r="AG72" s="19"/>
      <c r="AH72" s="19"/>
      <c r="AI72" s="19"/>
      <c r="AJ72" s="19"/>
      <c r="AK72" s="19"/>
      <c r="AL72" s="19"/>
      <c r="AM72" s="19"/>
    </row>
    <row r="73">
      <c r="A73" s="27"/>
      <c r="B73" s="27"/>
      <c r="C73" s="27"/>
      <c r="D73" s="27"/>
      <c r="E73" s="27"/>
      <c r="F73" s="27"/>
      <c r="G73" s="27"/>
      <c r="H73" s="34" t="s">
        <v>472</v>
      </c>
      <c r="I73" s="15" t="str">
        <f t="shared" si="1"/>
        <v>https://youtube.com/embed/iOqVUVy_u94</v>
      </c>
      <c r="J73" s="15" t="s">
        <v>473</v>
      </c>
      <c r="K73" s="33" t="s">
        <v>212</v>
      </c>
      <c r="L73" s="34" t="s">
        <v>505</v>
      </c>
      <c r="M73" s="17" t="s">
        <v>263</v>
      </c>
      <c r="N73" s="37"/>
      <c r="O73" s="18"/>
      <c r="P73" s="18"/>
      <c r="Q73" s="18"/>
      <c r="R73" s="18"/>
      <c r="S73" s="19"/>
      <c r="T73" s="21"/>
      <c r="U73" s="21"/>
      <c r="V73" s="19"/>
      <c r="W73" s="19"/>
      <c r="X73" s="19"/>
      <c r="Y73" s="19"/>
      <c r="Z73" s="19"/>
      <c r="AA73" s="19"/>
      <c r="AB73" s="19"/>
      <c r="AC73" s="19"/>
      <c r="AD73" s="19"/>
      <c r="AE73" s="19"/>
      <c r="AF73" s="19"/>
      <c r="AG73" s="19"/>
      <c r="AH73" s="19"/>
      <c r="AI73" s="19"/>
      <c r="AJ73" s="19"/>
      <c r="AK73" s="19"/>
      <c r="AL73" s="19"/>
      <c r="AM73" s="19"/>
    </row>
    <row r="74">
      <c r="A74" s="28" t="s">
        <v>475</v>
      </c>
      <c r="B74" s="26" t="str">
        <f>TRIM(MID(A74, SEARCH("- ", A74) + 2, LEN(A74)))
</f>
        <v>CONTROL FINANCIERO EN ALMACENES</v>
      </c>
      <c r="C74" s="13" t="s">
        <v>77</v>
      </c>
      <c r="D74" s="13" t="s">
        <v>77</v>
      </c>
      <c r="E74" s="13" t="s">
        <v>77</v>
      </c>
      <c r="F74" s="13" t="s">
        <v>63</v>
      </c>
      <c r="G74" s="13" t="s">
        <v>77</v>
      </c>
      <c r="H74" s="34" t="s">
        <v>476</v>
      </c>
      <c r="I74" s="15" t="str">
        <f t="shared" si="1"/>
        <v>https://youtube.com/embed/ismQD4kej3E</v>
      </c>
      <c r="J74" s="15" t="s">
        <v>477</v>
      </c>
      <c r="K74" s="33" t="s">
        <v>170</v>
      </c>
      <c r="L74" s="34" t="s">
        <v>513</v>
      </c>
      <c r="M74" s="17" t="s">
        <v>263</v>
      </c>
      <c r="N74" s="56" t="str">
        <f>"COMIENZA DICIENDO QUE ES EL RESUMEN DEL CURSO " &amp; B74 &amp; " DE EDUMIN, LUEGO HAZ EL RESUMEN Y FINALIZA INVITANDO A VER EL RESTO DE RECURSOS DE LAS ZONAS DE EDUMIN."</f>
        <v>COMIENZA DICIENDO QUE ES EL RESUMEN DEL CURSO CONTROL FINANCIERO EN ALMACENES DE EDUMIN, LUEGO HAZ EL RESUMEN Y FINALIZA INVITANDO A VER EL RESTO DE RECURSOS DE LAS ZONAS DE EDUMIN.</v>
      </c>
      <c r="O74" s="18" t="s">
        <v>397</v>
      </c>
      <c r="P74" s="18" t="s">
        <v>382</v>
      </c>
      <c r="Q74" s="18" t="s">
        <v>398</v>
      </c>
      <c r="R74" s="18">
        <v>30.0</v>
      </c>
      <c r="S74" s="19"/>
      <c r="T74" s="21" t="s">
        <v>122</v>
      </c>
      <c r="U74" s="21" t="s">
        <v>124</v>
      </c>
      <c r="V74" s="19"/>
      <c r="W74" s="19"/>
      <c r="X74" s="19"/>
      <c r="Y74" s="19"/>
      <c r="Z74" s="19"/>
      <c r="AA74" s="19"/>
      <c r="AB74" s="19"/>
      <c r="AC74" s="19"/>
      <c r="AD74" s="19"/>
      <c r="AE74" s="19"/>
      <c r="AF74" s="19"/>
      <c r="AG74" s="19"/>
      <c r="AH74" s="19"/>
      <c r="AI74" s="19"/>
      <c r="AJ74" s="19"/>
      <c r="AK74" s="19"/>
      <c r="AL74" s="19"/>
      <c r="AM74" s="19"/>
    </row>
    <row r="75">
      <c r="A75" s="23"/>
      <c r="B75" s="23"/>
      <c r="C75" s="23"/>
      <c r="D75" s="23"/>
      <c r="E75" s="23"/>
      <c r="F75" s="23"/>
      <c r="G75" s="23"/>
      <c r="H75" s="34" t="s">
        <v>479</v>
      </c>
      <c r="I75" s="15" t="str">
        <f t="shared" si="1"/>
        <v>https://youtube.com/embed/k5joz3niO10</v>
      </c>
      <c r="J75" s="15" t="s">
        <v>480</v>
      </c>
      <c r="K75" s="33" t="s">
        <v>185</v>
      </c>
      <c r="L75" s="34" t="s">
        <v>516</v>
      </c>
      <c r="M75" s="17" t="s">
        <v>263</v>
      </c>
      <c r="N75" s="37"/>
      <c r="O75" s="18"/>
      <c r="P75" s="18"/>
      <c r="Q75" s="18"/>
      <c r="R75" s="18"/>
      <c r="S75" s="19"/>
      <c r="T75" s="21"/>
      <c r="U75" s="21"/>
      <c r="V75" s="19"/>
      <c r="W75" s="19"/>
      <c r="X75" s="19"/>
      <c r="Y75" s="19"/>
      <c r="Z75" s="19"/>
      <c r="AA75" s="19"/>
      <c r="AB75" s="19"/>
      <c r="AC75" s="19"/>
      <c r="AD75" s="19"/>
      <c r="AE75" s="19"/>
      <c r="AF75" s="19"/>
      <c r="AG75" s="19"/>
      <c r="AH75" s="19"/>
      <c r="AI75" s="19"/>
      <c r="AJ75" s="19"/>
      <c r="AK75" s="19"/>
      <c r="AL75" s="19"/>
      <c r="AM75" s="19"/>
    </row>
    <row r="76">
      <c r="A76" s="23"/>
      <c r="B76" s="23"/>
      <c r="C76" s="23"/>
      <c r="D76" s="23"/>
      <c r="E76" s="23"/>
      <c r="F76" s="23"/>
      <c r="G76" s="23"/>
      <c r="H76" s="34" t="s">
        <v>481</v>
      </c>
      <c r="I76" s="15" t="str">
        <f t="shared" si="1"/>
        <v>https://youtube.com/embed/FLzgNFkWFE4</v>
      </c>
      <c r="J76" s="15" t="s">
        <v>483</v>
      </c>
      <c r="K76" s="33" t="s">
        <v>192</v>
      </c>
      <c r="L76" s="34" t="s">
        <v>518</v>
      </c>
      <c r="M76" s="17" t="s">
        <v>263</v>
      </c>
      <c r="N76" s="37"/>
      <c r="O76" s="18"/>
      <c r="P76" s="18"/>
      <c r="Q76" s="18"/>
      <c r="R76" s="18"/>
      <c r="S76" s="19"/>
      <c r="T76" s="21"/>
      <c r="U76" s="21"/>
      <c r="V76" s="19"/>
      <c r="W76" s="19"/>
      <c r="X76" s="19"/>
      <c r="Y76" s="19"/>
      <c r="Z76" s="19"/>
      <c r="AA76" s="19"/>
      <c r="AB76" s="19"/>
      <c r="AC76" s="19"/>
      <c r="AD76" s="19"/>
      <c r="AE76" s="19"/>
      <c r="AF76" s="19"/>
      <c r="AG76" s="19"/>
      <c r="AH76" s="19"/>
      <c r="AI76" s="19"/>
      <c r="AJ76" s="19"/>
      <c r="AK76" s="19"/>
      <c r="AL76" s="19"/>
      <c r="AM76" s="19"/>
    </row>
    <row r="77">
      <c r="A77" s="27"/>
      <c r="B77" s="27"/>
      <c r="C77" s="27"/>
      <c r="D77" s="27"/>
      <c r="E77" s="27"/>
      <c r="F77" s="27"/>
      <c r="G77" s="27"/>
      <c r="H77" s="34" t="s">
        <v>484</v>
      </c>
      <c r="I77" s="15" t="str">
        <f t="shared" si="1"/>
        <v>https://youtube.com/embed/cjKaqGPSzyQ</v>
      </c>
      <c r="J77" s="15" t="s">
        <v>486</v>
      </c>
      <c r="K77" s="33" t="s">
        <v>212</v>
      </c>
      <c r="L77" s="34" t="s">
        <v>523</v>
      </c>
      <c r="M77" s="17" t="s">
        <v>263</v>
      </c>
      <c r="N77" s="37"/>
      <c r="O77" s="18"/>
      <c r="P77" s="18"/>
      <c r="Q77" s="18"/>
      <c r="R77" s="18"/>
      <c r="S77" s="19"/>
      <c r="T77" s="21"/>
      <c r="U77" s="21"/>
      <c r="V77" s="19"/>
      <c r="W77" s="19"/>
      <c r="X77" s="19"/>
      <c r="Y77" s="19"/>
      <c r="Z77" s="19"/>
      <c r="AA77" s="19"/>
      <c r="AB77" s="19"/>
      <c r="AC77" s="19"/>
      <c r="AD77" s="19"/>
      <c r="AE77" s="19"/>
      <c r="AF77" s="19"/>
      <c r="AG77" s="19"/>
      <c r="AH77" s="19"/>
      <c r="AI77" s="19"/>
      <c r="AJ77" s="19"/>
      <c r="AK77" s="19"/>
      <c r="AL77" s="19"/>
      <c r="AM77" s="19"/>
    </row>
    <row r="78">
      <c r="A78" s="26" t="s">
        <v>487</v>
      </c>
      <c r="B78" s="26" t="str">
        <f>TRIM(MID(A78, SEARCH("- ", A78) + 2, LEN(A78)))
</f>
        <v>LOGÍSTICA INTERNA EN CONTROL DE ALMACENES</v>
      </c>
      <c r="C78" s="13" t="s">
        <v>77</v>
      </c>
      <c r="D78" s="13" t="s">
        <v>77</v>
      </c>
      <c r="E78" s="13" t="s">
        <v>77</v>
      </c>
      <c r="F78" s="13" t="s">
        <v>63</v>
      </c>
      <c r="G78" s="13" t="s">
        <v>77</v>
      </c>
      <c r="H78" s="57" t="s">
        <v>528</v>
      </c>
      <c r="I78" s="15" t="str">
        <f t="shared" si="1"/>
        <v>https://youtube.com/embed/iNsT-mga0Jk</v>
      </c>
      <c r="J78" s="15" t="s">
        <v>491</v>
      </c>
      <c r="K78" s="33" t="s">
        <v>170</v>
      </c>
      <c r="L78" s="34" t="s">
        <v>531</v>
      </c>
      <c r="M78" s="17" t="s">
        <v>263</v>
      </c>
      <c r="N78" s="56" t="str">
        <f>"COMIENZA DICIENDO QUE ES EL RESUMEN DEL CURSO " &amp; B78 &amp; " DE EDUMIN, LUEGO HAZ EL RESUMEN Y FINALIZA INVITANDO A VER EL RESTO DE RECURSOS DE LAS ZONAS DE EDUMIN."</f>
        <v>COMIENZA DICIENDO QUE ES EL RESUMEN DEL CURSO LOGÍSTICA INTERNA EN CONTROL DE ALMACENES DE EDUMIN, LUEGO HAZ EL RESUMEN Y FINALIZA INVITANDO A VER EL RESTO DE RECURSOS DE LAS ZONAS DE EDUMIN.</v>
      </c>
      <c r="O78" s="18" t="s">
        <v>397</v>
      </c>
      <c r="P78" s="18" t="s">
        <v>382</v>
      </c>
      <c r="Q78" s="18" t="s">
        <v>398</v>
      </c>
      <c r="R78" s="18">
        <v>30.0</v>
      </c>
      <c r="S78" s="19"/>
      <c r="T78" s="21" t="s">
        <v>122</v>
      </c>
      <c r="U78" s="21" t="s">
        <v>124</v>
      </c>
      <c r="V78" s="19"/>
      <c r="W78" s="19"/>
      <c r="X78" s="19"/>
      <c r="Y78" s="19"/>
      <c r="Z78" s="19"/>
      <c r="AA78" s="19"/>
      <c r="AB78" s="19"/>
      <c r="AC78" s="19"/>
      <c r="AD78" s="19"/>
      <c r="AE78" s="19"/>
      <c r="AF78" s="19"/>
      <c r="AG78" s="19"/>
      <c r="AH78" s="19"/>
      <c r="AI78" s="19"/>
      <c r="AJ78" s="19"/>
      <c r="AK78" s="19"/>
      <c r="AL78" s="19"/>
      <c r="AM78" s="19"/>
    </row>
    <row r="79">
      <c r="A79" s="23"/>
      <c r="B79" s="23"/>
      <c r="C79" s="23"/>
      <c r="D79" s="23"/>
      <c r="E79" s="23"/>
      <c r="F79" s="23"/>
      <c r="G79" s="23"/>
      <c r="H79" s="34" t="s">
        <v>493</v>
      </c>
      <c r="I79" s="15" t="str">
        <f t="shared" si="1"/>
        <v>https://youtube.com/embed/ASZqEEqOoFs</v>
      </c>
      <c r="J79" s="15" t="s">
        <v>494</v>
      </c>
      <c r="K79" s="33" t="s">
        <v>185</v>
      </c>
      <c r="L79" s="34" t="s">
        <v>533</v>
      </c>
      <c r="M79" s="17" t="s">
        <v>263</v>
      </c>
      <c r="N79" s="37"/>
      <c r="O79" s="18"/>
      <c r="P79" s="18"/>
      <c r="Q79" s="18"/>
      <c r="R79" s="18"/>
      <c r="S79" s="59"/>
      <c r="T79" s="21"/>
      <c r="U79" s="21"/>
      <c r="V79" s="59"/>
      <c r="W79" s="59"/>
      <c r="X79" s="59"/>
      <c r="Y79" s="59"/>
      <c r="Z79" s="59"/>
      <c r="AA79" s="59"/>
      <c r="AB79" s="59"/>
      <c r="AC79" s="59"/>
      <c r="AD79" s="59"/>
      <c r="AE79" s="59"/>
      <c r="AF79" s="59"/>
      <c r="AG79" s="59"/>
      <c r="AH79" s="59"/>
      <c r="AI79" s="59"/>
      <c r="AJ79" s="59"/>
      <c r="AK79" s="59"/>
      <c r="AL79" s="59"/>
      <c r="AM79" s="59"/>
    </row>
    <row r="80">
      <c r="A80" s="23"/>
      <c r="B80" s="23"/>
      <c r="C80" s="23"/>
      <c r="D80" s="23"/>
      <c r="E80" s="23"/>
      <c r="F80" s="23"/>
      <c r="G80" s="23"/>
      <c r="H80" s="34" t="s">
        <v>496</v>
      </c>
      <c r="I80" s="15" t="str">
        <f t="shared" si="1"/>
        <v>https://youtube.com/embed/0XyYPcF1u6s</v>
      </c>
      <c r="J80" s="15" t="s">
        <v>497</v>
      </c>
      <c r="K80" s="33" t="s">
        <v>192</v>
      </c>
      <c r="L80" s="34" t="s">
        <v>535</v>
      </c>
      <c r="M80" s="17" t="s">
        <v>263</v>
      </c>
      <c r="N80" s="37"/>
      <c r="O80" s="18"/>
      <c r="P80" s="18"/>
      <c r="Q80" s="18"/>
      <c r="R80" s="18"/>
      <c r="S80" s="59"/>
      <c r="T80" s="21"/>
      <c r="U80" s="21"/>
      <c r="V80" s="59"/>
      <c r="W80" s="59"/>
      <c r="X80" s="59"/>
      <c r="Y80" s="59"/>
      <c r="Z80" s="59"/>
      <c r="AA80" s="59"/>
      <c r="AB80" s="59"/>
      <c r="AC80" s="59"/>
      <c r="AD80" s="59"/>
      <c r="AE80" s="59"/>
      <c r="AF80" s="59"/>
      <c r="AG80" s="59"/>
      <c r="AH80" s="59"/>
      <c r="AI80" s="59"/>
      <c r="AJ80" s="59"/>
      <c r="AK80" s="59"/>
      <c r="AL80" s="59"/>
      <c r="AM80" s="59"/>
    </row>
    <row r="81">
      <c r="A81" s="27"/>
      <c r="B81" s="27"/>
      <c r="C81" s="27"/>
      <c r="D81" s="27"/>
      <c r="E81" s="27"/>
      <c r="F81" s="27"/>
      <c r="G81" s="27"/>
      <c r="H81" s="34" t="s">
        <v>498</v>
      </c>
      <c r="I81" s="15" t="str">
        <f t="shared" si="1"/>
        <v>https://youtube.com/embed/22xY82kg2rA</v>
      </c>
      <c r="J81" s="15" t="s">
        <v>499</v>
      </c>
      <c r="K81" s="33" t="s">
        <v>212</v>
      </c>
      <c r="L81" s="34" t="s">
        <v>537</v>
      </c>
      <c r="M81" s="17" t="s">
        <v>263</v>
      </c>
      <c r="N81" s="37"/>
      <c r="O81" s="18"/>
      <c r="P81" s="18"/>
      <c r="Q81" s="18"/>
      <c r="R81" s="18"/>
      <c r="S81" s="59"/>
      <c r="T81" s="21"/>
      <c r="U81" s="21"/>
      <c r="V81" s="59"/>
      <c r="W81" s="59"/>
      <c r="X81" s="59"/>
      <c r="Y81" s="59"/>
      <c r="Z81" s="59"/>
      <c r="AA81" s="59"/>
      <c r="AB81" s="59"/>
      <c r="AC81" s="59"/>
      <c r="AD81" s="59"/>
      <c r="AE81" s="59"/>
      <c r="AF81" s="59"/>
      <c r="AG81" s="59"/>
      <c r="AH81" s="59"/>
      <c r="AI81" s="59"/>
      <c r="AJ81" s="59"/>
      <c r="AK81" s="59"/>
      <c r="AL81" s="59"/>
      <c r="AM81" s="59"/>
    </row>
    <row r="82">
      <c r="A82" s="26" t="s">
        <v>501</v>
      </c>
      <c r="B82" s="26" t="str">
        <f>TRIM(MID(A82, SEARCH("- ", A82) + 2, LEN(A82)))
</f>
        <v>FUNDAMENTOS DE BIG DATA</v>
      </c>
      <c r="C82" s="13" t="s">
        <v>77</v>
      </c>
      <c r="D82" s="13" t="s">
        <v>77</v>
      </c>
      <c r="E82" s="13" t="s">
        <v>77</v>
      </c>
      <c r="F82" s="13" t="s">
        <v>65</v>
      </c>
      <c r="G82" s="13" t="s">
        <v>77</v>
      </c>
      <c r="H82" s="34" t="s">
        <v>503</v>
      </c>
      <c r="I82" s="15" t="str">
        <f t="shared" si="1"/>
        <v>https://youtube.com/embed/ySMqrteo540</v>
      </c>
      <c r="J82" s="15" t="s">
        <v>504</v>
      </c>
      <c r="K82" s="33" t="s">
        <v>170</v>
      </c>
      <c r="L82" s="34" t="s">
        <v>539</v>
      </c>
      <c r="M82" s="17" t="s">
        <v>263</v>
      </c>
      <c r="N82" s="60" t="str">
        <f>"COMIENZA DICIENDO QUE ES EL RESUMEN DEL CURSO " &amp; B82 &amp; " DE EDUMIN, LUEGO HAZ EL RESUMEN Y FINALIZA INVITANDO A VER EL RESTO DE RECURSOS DE LAS ZONAS DE EDUMIN."</f>
        <v>COMIENZA DICIENDO QUE ES EL RESUMEN DEL CURSO FUNDAMENTOS DE BIG DATA DE EDUMIN, LUEGO HAZ EL RESUMEN Y FINALIZA INVITANDO A VER EL RESTO DE RECURSOS DE LAS ZONAS DE EDUMIN.</v>
      </c>
      <c r="O82" s="18" t="s">
        <v>365</v>
      </c>
      <c r="P82" s="18" t="s">
        <v>506</v>
      </c>
      <c r="Q82" s="18" t="s">
        <v>507</v>
      </c>
      <c r="R82" s="18">
        <v>30.0</v>
      </c>
      <c r="S82" s="19"/>
      <c r="T82" s="21" t="s">
        <v>122</v>
      </c>
      <c r="U82" s="21" t="s">
        <v>124</v>
      </c>
      <c r="V82" s="19"/>
      <c r="W82" s="19"/>
      <c r="X82" s="19"/>
      <c r="Y82" s="19"/>
      <c r="Z82" s="19"/>
      <c r="AA82" s="19"/>
      <c r="AB82" s="19"/>
      <c r="AC82" s="19"/>
      <c r="AD82" s="19"/>
      <c r="AE82" s="19"/>
      <c r="AF82" s="19"/>
      <c r="AG82" s="19"/>
      <c r="AH82" s="19"/>
      <c r="AI82" s="19"/>
      <c r="AJ82" s="19"/>
      <c r="AK82" s="19"/>
      <c r="AL82" s="19"/>
      <c r="AM82" s="19"/>
    </row>
    <row r="83">
      <c r="A83" s="23"/>
      <c r="B83" s="23"/>
      <c r="C83" s="23"/>
      <c r="D83" s="23"/>
      <c r="E83" s="23"/>
      <c r="F83" s="23"/>
      <c r="G83" s="23"/>
      <c r="H83" s="34" t="s">
        <v>508</v>
      </c>
      <c r="I83" s="15" t="str">
        <f t="shared" si="1"/>
        <v>https://youtube.com/embed/zTewunME6AY</v>
      </c>
      <c r="J83" s="15" t="s">
        <v>509</v>
      </c>
      <c r="K83" s="33" t="s">
        <v>185</v>
      </c>
      <c r="L83" s="34" t="s">
        <v>541</v>
      </c>
      <c r="M83" s="17" t="s">
        <v>263</v>
      </c>
      <c r="N83" s="17" t="s">
        <v>510</v>
      </c>
      <c r="O83" s="18"/>
      <c r="P83" s="18"/>
      <c r="Q83" s="18"/>
      <c r="R83" s="18"/>
      <c r="S83" s="19"/>
      <c r="T83" s="21"/>
      <c r="U83" s="21"/>
      <c r="V83" s="19"/>
      <c r="W83" s="19"/>
      <c r="X83" s="19"/>
      <c r="Y83" s="19"/>
      <c r="Z83" s="19"/>
      <c r="AA83" s="19"/>
      <c r="AB83" s="19"/>
      <c r="AC83" s="19"/>
      <c r="AD83" s="19"/>
      <c r="AE83" s="19"/>
      <c r="AF83" s="19"/>
      <c r="AG83" s="19"/>
      <c r="AH83" s="19"/>
      <c r="AI83" s="19"/>
      <c r="AJ83" s="19"/>
      <c r="AK83" s="19"/>
      <c r="AL83" s="19"/>
      <c r="AM83" s="19"/>
    </row>
    <row r="84">
      <c r="A84" s="23"/>
      <c r="B84" s="23"/>
      <c r="C84" s="23"/>
      <c r="D84" s="23"/>
      <c r="E84" s="23"/>
      <c r="F84" s="23"/>
      <c r="G84" s="23"/>
      <c r="H84" s="34" t="s">
        <v>511</v>
      </c>
      <c r="I84" s="15" t="str">
        <f t="shared" si="1"/>
        <v>https://youtube.com/embed/6mA1GD-i6WE</v>
      </c>
      <c r="J84" s="15" t="s">
        <v>512</v>
      </c>
      <c r="K84" s="33" t="s">
        <v>192</v>
      </c>
      <c r="L84" s="34" t="s">
        <v>542</v>
      </c>
      <c r="M84" s="17" t="s">
        <v>263</v>
      </c>
      <c r="N84" s="18"/>
      <c r="O84" s="18"/>
      <c r="P84" s="18"/>
      <c r="Q84" s="18"/>
      <c r="R84" s="18"/>
      <c r="S84" s="19"/>
      <c r="T84" s="21"/>
      <c r="U84" s="21"/>
      <c r="V84" s="19"/>
      <c r="W84" s="19"/>
      <c r="X84" s="19"/>
      <c r="Y84" s="19"/>
      <c r="Z84" s="19"/>
      <c r="AA84" s="19"/>
      <c r="AB84" s="19"/>
      <c r="AC84" s="19"/>
      <c r="AD84" s="19"/>
      <c r="AE84" s="19"/>
      <c r="AF84" s="19"/>
      <c r="AG84" s="19"/>
      <c r="AH84" s="19"/>
      <c r="AI84" s="19"/>
      <c r="AJ84" s="19"/>
      <c r="AK84" s="19"/>
      <c r="AL84" s="19"/>
      <c r="AM84" s="19"/>
    </row>
    <row r="85">
      <c r="A85" s="27"/>
      <c r="B85" s="27"/>
      <c r="C85" s="27"/>
      <c r="D85" s="27"/>
      <c r="E85" s="27"/>
      <c r="F85" s="27"/>
      <c r="G85" s="27"/>
      <c r="H85" s="34" t="s">
        <v>514</v>
      </c>
      <c r="I85" s="15" t="str">
        <f t="shared" si="1"/>
        <v>https://youtube.com/embed/O_0aE-2oXcI</v>
      </c>
      <c r="J85" s="15" t="s">
        <v>515</v>
      </c>
      <c r="K85" s="33" t="s">
        <v>212</v>
      </c>
      <c r="L85" s="34" t="s">
        <v>544</v>
      </c>
      <c r="M85" s="17" t="s">
        <v>263</v>
      </c>
      <c r="N85" s="18"/>
      <c r="O85" s="18"/>
      <c r="P85" s="18"/>
      <c r="Q85" s="18"/>
      <c r="R85" s="18"/>
      <c r="S85" s="19"/>
      <c r="T85" s="21"/>
      <c r="U85" s="21"/>
      <c r="V85" s="19"/>
      <c r="W85" s="19"/>
      <c r="X85" s="19"/>
      <c r="Y85" s="19"/>
      <c r="Z85" s="19"/>
      <c r="AA85" s="19"/>
      <c r="AB85" s="19"/>
      <c r="AC85" s="19"/>
      <c r="AD85" s="19"/>
      <c r="AE85" s="19"/>
      <c r="AF85" s="19"/>
      <c r="AG85" s="19"/>
      <c r="AH85" s="19"/>
      <c r="AI85" s="19"/>
      <c r="AJ85" s="19"/>
      <c r="AK85" s="19"/>
      <c r="AL85" s="19"/>
      <c r="AM85" s="19"/>
    </row>
    <row r="86">
      <c r="A86" s="26" t="s">
        <v>517</v>
      </c>
      <c r="B86" s="26" t="str">
        <f>TRIM(MID(A86, SEARCH("- ", A86) + 2, LEN(A86)))
</f>
        <v>MÉTODOS DE CAPTURA DE INFORMACIÓN EN BIG DATA</v>
      </c>
      <c r="C86" s="13" t="s">
        <v>77</v>
      </c>
      <c r="D86" s="13" t="s">
        <v>77</v>
      </c>
      <c r="E86" s="13" t="s">
        <v>77</v>
      </c>
      <c r="F86" s="13" t="s">
        <v>65</v>
      </c>
      <c r="G86" s="13" t="s">
        <v>77</v>
      </c>
      <c r="H86" s="34" t="s">
        <v>519</v>
      </c>
      <c r="I86" s="15" t="str">
        <f t="shared" si="1"/>
        <v>https://youtube.com/embed/_oPHB7b9QbU</v>
      </c>
      <c r="J86" s="15" t="s">
        <v>520</v>
      </c>
      <c r="K86" s="33" t="s">
        <v>170</v>
      </c>
      <c r="L86" s="34" t="s">
        <v>547</v>
      </c>
      <c r="M86" s="17" t="s">
        <v>263</v>
      </c>
      <c r="N86" s="60" t="str">
        <f>"COMIENZA DICIENDO QUE ES EL RESUMEN DEL CURSO " &amp; B86 &amp; " DE EDUMIN, LUEGO HAZ EL RESUMEN Y FINALIZA INVITANDO A VER EL RESTO DE RECURSOS DE LAS ZONAS DE EDUMIN."</f>
        <v>COMIENZA DICIENDO QUE ES EL RESUMEN DEL CURSO MÉTODOS DE CAPTURA DE INFORMACIÓN EN BIG DATA DE EDUMIN, LUEGO HAZ EL RESUMEN Y FINALIZA INVITANDO A VER EL RESTO DE RECURSOS DE LAS ZONAS DE EDUMIN.</v>
      </c>
      <c r="O86" s="18" t="s">
        <v>521</v>
      </c>
      <c r="P86" s="18" t="s">
        <v>507</v>
      </c>
      <c r="Q86" s="18" t="s">
        <v>522</v>
      </c>
      <c r="R86" s="18">
        <v>30.0</v>
      </c>
      <c r="S86" s="19"/>
      <c r="T86" s="21" t="s">
        <v>122</v>
      </c>
      <c r="U86" s="21" t="s">
        <v>124</v>
      </c>
      <c r="V86" s="19"/>
      <c r="W86" s="19"/>
      <c r="X86" s="19"/>
      <c r="Y86" s="19"/>
      <c r="Z86" s="19"/>
      <c r="AA86" s="19"/>
      <c r="AB86" s="19"/>
      <c r="AC86" s="19"/>
      <c r="AD86" s="19"/>
      <c r="AE86" s="19"/>
      <c r="AF86" s="19"/>
      <c r="AG86" s="19"/>
      <c r="AH86" s="19"/>
      <c r="AI86" s="19"/>
      <c r="AJ86" s="19"/>
      <c r="AK86" s="19"/>
      <c r="AL86" s="19"/>
      <c r="AM86" s="19"/>
    </row>
    <row r="87">
      <c r="A87" s="23"/>
      <c r="B87" s="23"/>
      <c r="C87" s="23"/>
      <c r="D87" s="23"/>
      <c r="E87" s="23"/>
      <c r="F87" s="23"/>
      <c r="G87" s="23"/>
      <c r="H87" s="34" t="s">
        <v>524</v>
      </c>
      <c r="I87" s="15" t="str">
        <f t="shared" si="1"/>
        <v>https://youtube.com/embed/Q0gav66aYsc</v>
      </c>
      <c r="J87" s="15" t="s">
        <v>525</v>
      </c>
      <c r="K87" s="33" t="s">
        <v>185</v>
      </c>
      <c r="L87" s="34" t="s">
        <v>548</v>
      </c>
      <c r="M87" s="17" t="s">
        <v>263</v>
      </c>
      <c r="N87" s="17" t="s">
        <v>510</v>
      </c>
      <c r="O87" s="18"/>
      <c r="P87" s="18"/>
      <c r="Q87" s="18"/>
      <c r="R87" s="18"/>
      <c r="S87" s="19"/>
      <c r="T87" s="21"/>
      <c r="U87" s="21"/>
      <c r="V87" s="19"/>
      <c r="W87" s="19"/>
      <c r="X87" s="19"/>
      <c r="Y87" s="19"/>
      <c r="Z87" s="19"/>
      <c r="AA87" s="19"/>
      <c r="AB87" s="19"/>
      <c r="AC87" s="19"/>
      <c r="AD87" s="19"/>
      <c r="AE87" s="19"/>
      <c r="AF87" s="19"/>
      <c r="AG87" s="19"/>
      <c r="AH87" s="19"/>
      <c r="AI87" s="19"/>
      <c r="AJ87" s="19"/>
      <c r="AK87" s="19"/>
      <c r="AL87" s="19"/>
      <c r="AM87" s="19"/>
    </row>
    <row r="88">
      <c r="A88" s="23"/>
      <c r="B88" s="23"/>
      <c r="C88" s="23"/>
      <c r="D88" s="23"/>
      <c r="E88" s="23"/>
      <c r="F88" s="23"/>
      <c r="G88" s="23"/>
      <c r="H88" s="34" t="s">
        <v>526</v>
      </c>
      <c r="I88" s="15" t="str">
        <f t="shared" si="1"/>
        <v>https://youtube.com/embed/fGHmtkOpr2E</v>
      </c>
      <c r="J88" s="15" t="s">
        <v>527</v>
      </c>
      <c r="K88" s="33" t="s">
        <v>192</v>
      </c>
      <c r="L88" s="34" t="s">
        <v>551</v>
      </c>
      <c r="M88" s="17" t="s">
        <v>263</v>
      </c>
      <c r="N88" s="18"/>
      <c r="O88" s="18"/>
      <c r="P88" s="18"/>
      <c r="Q88" s="18"/>
      <c r="R88" s="18"/>
      <c r="S88" s="19"/>
      <c r="T88" s="21"/>
      <c r="U88" s="21"/>
      <c r="V88" s="19"/>
      <c r="W88" s="19"/>
      <c r="X88" s="19"/>
      <c r="Y88" s="19"/>
      <c r="Z88" s="19"/>
      <c r="AA88" s="19"/>
      <c r="AB88" s="19"/>
      <c r="AC88" s="19"/>
      <c r="AD88" s="19"/>
      <c r="AE88" s="19"/>
      <c r="AF88" s="19"/>
      <c r="AG88" s="19"/>
      <c r="AH88" s="19"/>
      <c r="AI88" s="19"/>
      <c r="AJ88" s="19"/>
      <c r="AK88" s="19"/>
      <c r="AL88" s="19"/>
      <c r="AM88" s="19"/>
    </row>
    <row r="89">
      <c r="A89" s="27"/>
      <c r="B89" s="27"/>
      <c r="C89" s="27"/>
      <c r="D89" s="27"/>
      <c r="E89" s="27"/>
      <c r="F89" s="27"/>
      <c r="G89" s="27"/>
      <c r="H89" s="34" t="s">
        <v>529</v>
      </c>
      <c r="I89" s="15" t="str">
        <f t="shared" si="1"/>
        <v>https://youtube.com/embed/loHNhtOyWGQ</v>
      </c>
      <c r="J89" s="15" t="s">
        <v>530</v>
      </c>
      <c r="K89" s="33" t="s">
        <v>212</v>
      </c>
      <c r="L89" s="34" t="s">
        <v>553</v>
      </c>
      <c r="M89" s="17" t="s">
        <v>263</v>
      </c>
      <c r="N89" s="18"/>
      <c r="O89" s="18"/>
      <c r="P89" s="18"/>
      <c r="Q89" s="18"/>
      <c r="R89" s="18"/>
      <c r="S89" s="19"/>
      <c r="T89" s="21"/>
      <c r="U89" s="21"/>
      <c r="V89" s="19"/>
      <c r="W89" s="19"/>
      <c r="X89" s="19"/>
      <c r="Y89" s="19"/>
      <c r="Z89" s="19"/>
      <c r="AA89" s="19"/>
      <c r="AB89" s="19"/>
      <c r="AC89" s="19"/>
      <c r="AD89" s="19"/>
      <c r="AE89" s="19"/>
      <c r="AF89" s="19"/>
      <c r="AG89" s="19"/>
      <c r="AH89" s="19"/>
      <c r="AI89" s="19"/>
      <c r="AJ89" s="19"/>
      <c r="AK89" s="19"/>
      <c r="AL89" s="19"/>
      <c r="AM89" s="19"/>
    </row>
    <row r="90">
      <c r="A90" s="26" t="s">
        <v>532</v>
      </c>
      <c r="B90" s="26" t="str">
        <f>TRIM(MID(A90, SEARCH("- ", A90) + 2, LEN(A90)))
</f>
        <v>TENDENCIAS 2025-2026: CLAVES DE BIG DATA</v>
      </c>
      <c r="C90" s="13" t="s">
        <v>77</v>
      </c>
      <c r="D90" s="13" t="s">
        <v>77</v>
      </c>
      <c r="E90" s="13" t="s">
        <v>77</v>
      </c>
      <c r="F90" s="13" t="s">
        <v>60</v>
      </c>
      <c r="G90" s="13" t="s">
        <v>77</v>
      </c>
      <c r="H90" s="61" t="s">
        <v>534</v>
      </c>
      <c r="I90" s="15" t="str">
        <f t="shared" si="1"/>
        <v>https://youtube.com/embed/vHakGwlRd4o</v>
      </c>
      <c r="J90" s="32" t="s">
        <v>536</v>
      </c>
      <c r="K90" s="33" t="s">
        <v>170</v>
      </c>
      <c r="L90" s="34" t="s">
        <v>557</v>
      </c>
      <c r="M90" s="17" t="s">
        <v>263</v>
      </c>
      <c r="N90" s="60" t="str">
        <f>"COMIENZA DICIENDO QUE ES EL RESUMEN DEL CURSO " &amp; B90 &amp; " DE EDUMIN, LUEGO HAZ EL RESUMEN Y FINALIZA INVITANDO A VER EL RESTO DE RECURSOS DE LAS ZONAS DE EDUMIN."</f>
        <v>COMIENZA DICIENDO QUE ES EL RESUMEN DEL CURSO TENDENCIAS 2025-2026: CLAVES DE BIG DATA DE EDUMIN, LUEGO HAZ EL RESUMEN Y FINALIZA INVITANDO A VER EL RESTO DE RECURSOS DE LAS ZONAS DE EDUMIN.</v>
      </c>
      <c r="O90" s="18" t="s">
        <v>521</v>
      </c>
      <c r="P90" s="18" t="s">
        <v>507</v>
      </c>
      <c r="Q90" s="18" t="s">
        <v>522</v>
      </c>
      <c r="R90" s="18">
        <v>30.0</v>
      </c>
      <c r="S90" s="19"/>
      <c r="T90" s="21" t="s">
        <v>122</v>
      </c>
      <c r="U90" s="21" t="s">
        <v>124</v>
      </c>
      <c r="V90" s="19"/>
      <c r="W90" s="19"/>
      <c r="X90" s="19"/>
      <c r="Y90" s="19"/>
      <c r="Z90" s="19"/>
      <c r="AA90" s="19"/>
      <c r="AB90" s="19"/>
      <c r="AC90" s="19"/>
      <c r="AD90" s="19"/>
      <c r="AE90" s="19"/>
      <c r="AF90" s="19"/>
      <c r="AG90" s="19"/>
      <c r="AH90" s="19"/>
      <c r="AI90" s="19"/>
      <c r="AJ90" s="19"/>
      <c r="AK90" s="19"/>
      <c r="AL90" s="19"/>
      <c r="AM90" s="19"/>
    </row>
    <row r="91">
      <c r="A91" s="23"/>
      <c r="B91" s="23"/>
      <c r="C91" s="23"/>
      <c r="D91" s="23"/>
      <c r="E91" s="23"/>
      <c r="F91" s="23"/>
      <c r="G91" s="23"/>
      <c r="H91" s="61" t="s">
        <v>538</v>
      </c>
      <c r="I91" s="15" t="str">
        <f t="shared" si="1"/>
        <v>https://youtube.com/embed/bqfapBBDPH8</v>
      </c>
      <c r="J91" s="32" t="s">
        <v>540</v>
      </c>
      <c r="K91" s="33" t="s">
        <v>185</v>
      </c>
      <c r="L91" s="34" t="s">
        <v>561</v>
      </c>
      <c r="M91" s="17" t="s">
        <v>263</v>
      </c>
      <c r="N91" s="17" t="s">
        <v>263</v>
      </c>
      <c r="O91" s="18"/>
      <c r="P91" s="18"/>
      <c r="Q91" s="18"/>
      <c r="R91" s="18"/>
      <c r="S91" s="19"/>
      <c r="T91" s="21"/>
      <c r="U91" s="21"/>
      <c r="V91" s="19"/>
      <c r="W91" s="19"/>
      <c r="X91" s="19"/>
      <c r="Y91" s="19"/>
      <c r="Z91" s="19"/>
      <c r="AA91" s="19"/>
      <c r="AB91" s="19"/>
      <c r="AC91" s="19"/>
      <c r="AD91" s="19"/>
      <c r="AE91" s="19"/>
      <c r="AF91" s="19"/>
      <c r="AG91" s="19"/>
      <c r="AH91" s="19"/>
      <c r="AI91" s="19"/>
      <c r="AJ91" s="19"/>
      <c r="AK91" s="19"/>
      <c r="AL91" s="19"/>
      <c r="AM91" s="19"/>
    </row>
    <row r="92">
      <c r="A92" s="23"/>
      <c r="B92" s="23"/>
      <c r="C92" s="23"/>
      <c r="D92" s="23"/>
      <c r="E92" s="23"/>
      <c r="F92" s="23"/>
      <c r="G92" s="23"/>
      <c r="H92" s="19"/>
      <c r="I92" s="62"/>
      <c r="J92" s="63"/>
      <c r="K92" s="33"/>
      <c r="L92" s="34"/>
      <c r="M92" s="18"/>
      <c r="N92" s="18"/>
      <c r="O92" s="18"/>
      <c r="P92" s="18"/>
      <c r="Q92" s="18"/>
      <c r="R92" s="18"/>
      <c r="S92" s="19"/>
      <c r="T92" s="21"/>
      <c r="U92" s="21"/>
      <c r="V92" s="19"/>
      <c r="W92" s="19"/>
      <c r="X92" s="19"/>
      <c r="Y92" s="19"/>
      <c r="Z92" s="19"/>
      <c r="AA92" s="19"/>
      <c r="AB92" s="19"/>
      <c r="AC92" s="19"/>
      <c r="AD92" s="19"/>
      <c r="AE92" s="19"/>
      <c r="AF92" s="19"/>
      <c r="AG92" s="19"/>
      <c r="AH92" s="19"/>
      <c r="AI92" s="19"/>
      <c r="AJ92" s="19"/>
      <c r="AK92" s="19"/>
      <c r="AL92" s="19"/>
      <c r="AM92" s="19"/>
    </row>
    <row r="93">
      <c r="A93" s="27"/>
      <c r="B93" s="27"/>
      <c r="C93" s="27"/>
      <c r="D93" s="27"/>
      <c r="E93" s="27"/>
      <c r="F93" s="27"/>
      <c r="G93" s="27"/>
      <c r="H93" s="34"/>
      <c r="I93" s="63"/>
      <c r="J93" s="63"/>
      <c r="K93" s="33"/>
      <c r="L93" s="34"/>
      <c r="M93" s="18"/>
      <c r="N93" s="18"/>
      <c r="O93" s="18"/>
      <c r="P93" s="18"/>
      <c r="Q93" s="18"/>
      <c r="R93" s="18"/>
      <c r="S93" s="19"/>
      <c r="T93" s="21"/>
      <c r="U93" s="21"/>
      <c r="V93" s="19"/>
      <c r="W93" s="19"/>
      <c r="X93" s="19"/>
      <c r="Y93" s="19"/>
      <c r="Z93" s="19"/>
      <c r="AA93" s="19"/>
      <c r="AB93" s="19"/>
      <c r="AC93" s="19"/>
      <c r="AD93" s="19"/>
      <c r="AE93" s="19"/>
      <c r="AF93" s="19"/>
      <c r="AG93" s="19"/>
      <c r="AH93" s="19"/>
      <c r="AI93" s="19"/>
      <c r="AJ93" s="19"/>
      <c r="AK93" s="19"/>
      <c r="AL93" s="19"/>
      <c r="AM93" s="19"/>
    </row>
    <row r="94">
      <c r="A94" s="26" t="s">
        <v>543</v>
      </c>
      <c r="B94" s="26" t="str">
        <f>TRIM(MID(A94, SEARCH("- ", A94) + 2, LEN(A94)))
</f>
        <v>BIG DATA: TRANSFORMACIÓN DE DATOS (PYTHON Y R)</v>
      </c>
      <c r="C94" s="13" t="s">
        <v>77</v>
      </c>
      <c r="D94" s="13" t="s">
        <v>77</v>
      </c>
      <c r="E94" s="13" t="s">
        <v>77</v>
      </c>
      <c r="F94" s="13" t="s">
        <v>65</v>
      </c>
      <c r="G94" s="13" t="s">
        <v>77</v>
      </c>
      <c r="H94" s="34" t="s">
        <v>545</v>
      </c>
      <c r="I94" s="15" t="str">
        <f t="shared" ref="I94:I144" si="2">SUBSTITUTE(LEFT(MID(H94,FIND("https",H94),99),FIND("?",H94)-FIND("https",H94)), "/live/", "/embed/")</f>
        <v>https://youtube.com/embed/apRGBH5tLg0</v>
      </c>
      <c r="J94" s="15" t="s">
        <v>546</v>
      </c>
      <c r="K94" s="33" t="s">
        <v>170</v>
      </c>
      <c r="L94" s="34" t="s">
        <v>565</v>
      </c>
      <c r="M94" s="17" t="s">
        <v>263</v>
      </c>
      <c r="N94" s="60" t="str">
        <f>"COMIENZA DICIENDO QUE ES EL RESUMEN DEL CURSO " &amp; B94 &amp; " DE EDUMIN, LUEGO HAZ EL RESUMEN Y FINALIZA INVITANDO A VER EL RESTO DE RECURSOS DE LAS ZONAS DE EDUMIN."</f>
        <v>COMIENZA DICIENDO QUE ES EL RESUMEN DEL CURSO BIG DATA: TRANSFORMACIÓN DE DATOS (PYTHON Y R) DE EDUMIN, LUEGO HAZ EL RESUMEN Y FINALIZA INVITANDO A VER EL RESTO DE RECURSOS DE LAS ZONAS DE EDUMIN.</v>
      </c>
      <c r="O94" s="18" t="s">
        <v>521</v>
      </c>
      <c r="P94" s="18" t="s">
        <v>507</v>
      </c>
      <c r="Q94" s="18" t="s">
        <v>522</v>
      </c>
      <c r="R94" s="18">
        <v>30.0</v>
      </c>
      <c r="S94" s="19"/>
      <c r="T94" s="21" t="s">
        <v>122</v>
      </c>
      <c r="U94" s="21" t="s">
        <v>124</v>
      </c>
      <c r="V94" s="19"/>
      <c r="W94" s="19"/>
      <c r="X94" s="19"/>
      <c r="Y94" s="19"/>
      <c r="Z94" s="19"/>
      <c r="AA94" s="19"/>
      <c r="AB94" s="19"/>
      <c r="AC94" s="19"/>
      <c r="AD94" s="19"/>
      <c r="AE94" s="19"/>
      <c r="AF94" s="19"/>
      <c r="AG94" s="19"/>
      <c r="AH94" s="19"/>
      <c r="AI94" s="19"/>
      <c r="AJ94" s="19"/>
      <c r="AK94" s="19"/>
      <c r="AL94" s="19"/>
      <c r="AM94" s="19"/>
    </row>
    <row r="95">
      <c r="A95" s="23"/>
      <c r="B95" s="23"/>
      <c r="C95" s="23"/>
      <c r="D95" s="23"/>
      <c r="E95" s="23"/>
      <c r="F95" s="23"/>
      <c r="G95" s="23"/>
      <c r="H95" s="34" t="s">
        <v>549</v>
      </c>
      <c r="I95" s="15" t="str">
        <f t="shared" si="2"/>
        <v>https://youtube.com/embed/dWSqXshSziY</v>
      </c>
      <c r="J95" s="15" t="s">
        <v>550</v>
      </c>
      <c r="K95" s="33" t="s">
        <v>185</v>
      </c>
      <c r="L95" s="34" t="s">
        <v>567</v>
      </c>
      <c r="M95" s="17" t="s">
        <v>263</v>
      </c>
      <c r="N95" s="17" t="s">
        <v>263</v>
      </c>
      <c r="O95" s="18"/>
      <c r="P95" s="18"/>
      <c r="Q95" s="18"/>
      <c r="R95" s="18"/>
      <c r="S95" s="19"/>
      <c r="T95" s="21"/>
      <c r="U95" s="21"/>
      <c r="V95" s="19"/>
      <c r="W95" s="19"/>
      <c r="X95" s="19"/>
      <c r="Y95" s="19"/>
      <c r="Z95" s="19"/>
      <c r="AA95" s="19"/>
      <c r="AB95" s="19"/>
      <c r="AC95" s="19"/>
      <c r="AD95" s="19"/>
      <c r="AE95" s="19"/>
      <c r="AF95" s="19"/>
      <c r="AG95" s="19"/>
      <c r="AH95" s="19"/>
      <c r="AI95" s="19"/>
      <c r="AJ95" s="19"/>
      <c r="AK95" s="19"/>
      <c r="AL95" s="19"/>
      <c r="AM95" s="19"/>
    </row>
    <row r="96">
      <c r="A96" s="23"/>
      <c r="B96" s="23"/>
      <c r="C96" s="23"/>
      <c r="D96" s="23"/>
      <c r="E96" s="23"/>
      <c r="F96" s="23"/>
      <c r="G96" s="23"/>
      <c r="H96" s="34" t="s">
        <v>552</v>
      </c>
      <c r="I96" s="15" t="str">
        <f t="shared" si="2"/>
        <v>https://youtube.com/embed/CY1sqGGp4yw</v>
      </c>
      <c r="J96" s="15" t="s">
        <v>554</v>
      </c>
      <c r="K96" s="33" t="s">
        <v>192</v>
      </c>
      <c r="L96" s="34" t="s">
        <v>570</v>
      </c>
      <c r="M96" s="17" t="s">
        <v>263</v>
      </c>
      <c r="N96" s="18"/>
      <c r="O96" s="18"/>
      <c r="P96" s="18"/>
      <c r="Q96" s="18"/>
      <c r="R96" s="18"/>
      <c r="S96" s="19"/>
      <c r="T96" s="21"/>
      <c r="U96" s="21"/>
      <c r="V96" s="19"/>
      <c r="W96" s="19"/>
      <c r="X96" s="19"/>
      <c r="Y96" s="19"/>
      <c r="Z96" s="19"/>
      <c r="AA96" s="19"/>
      <c r="AB96" s="19"/>
      <c r="AC96" s="19"/>
      <c r="AD96" s="19"/>
      <c r="AE96" s="19"/>
      <c r="AF96" s="19"/>
      <c r="AG96" s="19"/>
      <c r="AH96" s="19"/>
      <c r="AI96" s="19"/>
      <c r="AJ96" s="19"/>
      <c r="AK96" s="19"/>
      <c r="AL96" s="19"/>
      <c r="AM96" s="19"/>
    </row>
    <row r="97">
      <c r="A97" s="27"/>
      <c r="B97" s="27"/>
      <c r="C97" s="27"/>
      <c r="D97" s="27"/>
      <c r="E97" s="27"/>
      <c r="F97" s="27"/>
      <c r="G97" s="27"/>
      <c r="H97" s="34" t="s">
        <v>555</v>
      </c>
      <c r="I97" s="15" t="str">
        <f t="shared" si="2"/>
        <v>https://youtube.com/embed/D0C5UDynUsg</v>
      </c>
      <c r="J97" s="15" t="s">
        <v>556</v>
      </c>
      <c r="K97" s="33" t="s">
        <v>212</v>
      </c>
      <c r="L97" s="34" t="s">
        <v>572</v>
      </c>
      <c r="M97" s="17" t="s">
        <v>263</v>
      </c>
      <c r="N97" s="18"/>
      <c r="O97" s="18"/>
      <c r="P97" s="18"/>
      <c r="Q97" s="18"/>
      <c r="R97" s="18"/>
      <c r="S97" s="19"/>
      <c r="T97" s="21"/>
      <c r="U97" s="21"/>
      <c r="V97" s="19"/>
      <c r="W97" s="19"/>
      <c r="X97" s="19"/>
      <c r="Y97" s="19"/>
      <c r="Z97" s="19"/>
      <c r="AA97" s="19"/>
      <c r="AB97" s="19"/>
      <c r="AC97" s="19"/>
      <c r="AD97" s="19"/>
      <c r="AE97" s="19"/>
      <c r="AF97" s="19"/>
      <c r="AG97" s="19"/>
      <c r="AH97" s="19"/>
      <c r="AI97" s="19"/>
      <c r="AJ97" s="19"/>
      <c r="AK97" s="19"/>
      <c r="AL97" s="19"/>
      <c r="AM97" s="19"/>
    </row>
    <row r="98">
      <c r="A98" s="26" t="s">
        <v>558</v>
      </c>
      <c r="B98" s="26" t="str">
        <f>TRIM(MID(A98, SEARCH("- ", A98) + 2, LEN(A98)))
</f>
        <v>MINERÍA 4.0 ESSENTIALS: NUEVAS HERRAMIENTAS</v>
      </c>
      <c r="C98" s="13" t="s">
        <v>77</v>
      </c>
      <c r="D98" s="13" t="s">
        <v>77</v>
      </c>
      <c r="E98" s="13" t="s">
        <v>77</v>
      </c>
      <c r="F98" s="13" t="s">
        <v>65</v>
      </c>
      <c r="G98" s="13" t="s">
        <v>77</v>
      </c>
      <c r="H98" s="34" t="s">
        <v>559</v>
      </c>
      <c r="I98" s="15" t="str">
        <f t="shared" si="2"/>
        <v>https://youtube.com/embed/k5LI3M-_mmI</v>
      </c>
      <c r="J98" s="15" t="s">
        <v>560</v>
      </c>
      <c r="K98" s="33" t="s">
        <v>170</v>
      </c>
      <c r="L98" s="34" t="s">
        <v>576</v>
      </c>
      <c r="M98" s="17" t="s">
        <v>263</v>
      </c>
      <c r="N98" s="60" t="str">
        <f>"COMIENZA DICIENDO QUE ES EL RESUMEN DEL CURSO " &amp; B98 &amp; " DE EDUMIN, LUEGO HAZ EL RESUMEN Y FINALIZA INVITANDO A VER EL RESTO DE RECURSOS DE LAS ZONAS DE EDUMIN."</f>
        <v>COMIENZA DICIENDO QUE ES EL RESUMEN DEL CURSO MINERÍA 4.0 ESSENTIALS: NUEVAS HERRAMIENTAS DE EDUMIN, LUEGO HAZ EL RESUMEN Y FINALIZA INVITANDO A VER EL RESTO DE RECURSOS DE LAS ZONAS DE EDUMIN.</v>
      </c>
      <c r="O98" s="18" t="s">
        <v>365</v>
      </c>
      <c r="P98" s="18" t="s">
        <v>506</v>
      </c>
      <c r="Q98" s="18" t="s">
        <v>507</v>
      </c>
      <c r="R98" s="18">
        <v>30.0</v>
      </c>
      <c r="S98" s="19"/>
      <c r="T98" s="21" t="s">
        <v>122</v>
      </c>
      <c r="U98" s="21" t="s">
        <v>124</v>
      </c>
      <c r="V98" s="19"/>
      <c r="W98" s="19"/>
      <c r="X98" s="19"/>
      <c r="Y98" s="19"/>
      <c r="Z98" s="19"/>
      <c r="AA98" s="19"/>
      <c r="AB98" s="19"/>
      <c r="AC98" s="19"/>
      <c r="AD98" s="19"/>
      <c r="AE98" s="19"/>
      <c r="AF98" s="19"/>
      <c r="AG98" s="19"/>
      <c r="AH98" s="19"/>
      <c r="AI98" s="19"/>
      <c r="AJ98" s="19"/>
      <c r="AK98" s="19"/>
      <c r="AL98" s="19"/>
      <c r="AM98" s="19"/>
    </row>
    <row r="99">
      <c r="A99" s="23"/>
      <c r="B99" s="23"/>
      <c r="C99" s="23"/>
      <c r="D99" s="23"/>
      <c r="E99" s="23"/>
      <c r="F99" s="23"/>
      <c r="G99" s="23"/>
      <c r="H99" s="34" t="s">
        <v>562</v>
      </c>
      <c r="I99" s="15" t="str">
        <f t="shared" si="2"/>
        <v>https://youtube.com/embed/jkqBPjH-peY</v>
      </c>
      <c r="J99" s="15" t="s">
        <v>563</v>
      </c>
      <c r="K99" s="33" t="s">
        <v>185</v>
      </c>
      <c r="L99" s="34" t="s">
        <v>578</v>
      </c>
      <c r="M99" s="17" t="s">
        <v>263</v>
      </c>
      <c r="N99" s="17" t="s">
        <v>510</v>
      </c>
      <c r="O99" s="18"/>
      <c r="P99" s="18"/>
      <c r="Q99" s="18"/>
      <c r="R99" s="18"/>
      <c r="S99" s="19"/>
      <c r="T99" s="21"/>
      <c r="U99" s="21"/>
      <c r="V99" s="19"/>
      <c r="W99" s="19"/>
      <c r="X99" s="19"/>
      <c r="Y99" s="19"/>
      <c r="Z99" s="19"/>
      <c r="AA99" s="19"/>
      <c r="AB99" s="19"/>
      <c r="AC99" s="19"/>
      <c r="AD99" s="19"/>
      <c r="AE99" s="19"/>
      <c r="AF99" s="19"/>
      <c r="AG99" s="19"/>
      <c r="AH99" s="19"/>
      <c r="AI99" s="19"/>
      <c r="AJ99" s="19"/>
      <c r="AK99" s="19"/>
      <c r="AL99" s="19"/>
      <c r="AM99" s="19"/>
    </row>
    <row r="100">
      <c r="A100" s="23"/>
      <c r="B100" s="23"/>
      <c r="C100" s="23"/>
      <c r="D100" s="23"/>
      <c r="E100" s="23"/>
      <c r="F100" s="23"/>
      <c r="G100" s="23"/>
      <c r="H100" s="34" t="s">
        <v>564</v>
      </c>
      <c r="I100" s="15" t="str">
        <f t="shared" si="2"/>
        <v>https://youtube.com/embed/vzYSSY4fSkU</v>
      </c>
      <c r="J100" s="15" t="s">
        <v>566</v>
      </c>
      <c r="K100" s="33" t="s">
        <v>192</v>
      </c>
      <c r="L100" s="34" t="s">
        <v>581</v>
      </c>
      <c r="M100" s="17" t="s">
        <v>263</v>
      </c>
      <c r="N100" s="18"/>
      <c r="O100" s="18"/>
      <c r="P100" s="18"/>
      <c r="Q100" s="18"/>
      <c r="R100" s="18"/>
      <c r="S100" s="19"/>
      <c r="T100" s="21"/>
      <c r="U100" s="21"/>
      <c r="V100" s="19"/>
      <c r="W100" s="19"/>
      <c r="X100" s="19"/>
      <c r="Y100" s="19"/>
      <c r="Z100" s="19"/>
      <c r="AA100" s="19"/>
      <c r="AB100" s="19"/>
      <c r="AC100" s="19"/>
      <c r="AD100" s="19"/>
      <c r="AE100" s="19"/>
      <c r="AF100" s="19"/>
      <c r="AG100" s="19"/>
      <c r="AH100" s="19"/>
      <c r="AI100" s="19"/>
      <c r="AJ100" s="19"/>
      <c r="AK100" s="19"/>
      <c r="AL100" s="19"/>
      <c r="AM100" s="19"/>
    </row>
    <row r="101">
      <c r="A101" s="27"/>
      <c r="B101" s="27"/>
      <c r="C101" s="27"/>
      <c r="D101" s="27"/>
      <c r="E101" s="27"/>
      <c r="F101" s="27"/>
      <c r="G101" s="27"/>
      <c r="H101" s="34" t="s">
        <v>568</v>
      </c>
      <c r="I101" s="15" t="str">
        <f t="shared" si="2"/>
        <v>https://youtube.com/embed/58fa1BYLZ4I</v>
      </c>
      <c r="J101" s="15" t="s">
        <v>569</v>
      </c>
      <c r="K101" s="33" t="s">
        <v>212</v>
      </c>
      <c r="L101" s="34" t="s">
        <v>581</v>
      </c>
      <c r="M101" s="17" t="s">
        <v>263</v>
      </c>
      <c r="N101" s="18"/>
      <c r="O101" s="18"/>
      <c r="P101" s="18"/>
      <c r="Q101" s="18"/>
      <c r="R101" s="18"/>
      <c r="S101" s="19"/>
      <c r="T101" s="21"/>
      <c r="U101" s="21"/>
      <c r="V101" s="19"/>
      <c r="W101" s="19"/>
      <c r="X101" s="19"/>
      <c r="Y101" s="19"/>
      <c r="Z101" s="19"/>
      <c r="AA101" s="19"/>
      <c r="AB101" s="19"/>
      <c r="AC101" s="19"/>
      <c r="AD101" s="19"/>
      <c r="AE101" s="19"/>
      <c r="AF101" s="19"/>
      <c r="AG101" s="19"/>
      <c r="AH101" s="19"/>
      <c r="AI101" s="19"/>
      <c r="AJ101" s="19"/>
      <c r="AK101" s="19"/>
      <c r="AL101" s="19"/>
      <c r="AM101" s="19"/>
    </row>
    <row r="102">
      <c r="A102" s="28" t="s">
        <v>571</v>
      </c>
      <c r="B102" s="26" t="str">
        <f>TRIM(MID(A102, SEARCH("- ", A102) + 2, LEN(A102)))
</f>
        <v>INNOVACIÓN EN MINERÍA: APLICACIONES DE INTELIGENCIA ARTIFICIAL</v>
      </c>
      <c r="C102" s="13" t="s">
        <v>77</v>
      </c>
      <c r="D102" s="13" t="s">
        <v>77</v>
      </c>
      <c r="E102" s="13" t="s">
        <v>77</v>
      </c>
      <c r="F102" s="13" t="s">
        <v>65</v>
      </c>
      <c r="G102" s="13" t="s">
        <v>77</v>
      </c>
      <c r="H102" s="34" t="s">
        <v>573</v>
      </c>
      <c r="I102" s="15" t="str">
        <f t="shared" si="2"/>
        <v>https://youtube.com/embed/PIdyKVEYGtE</v>
      </c>
      <c r="J102" s="15" t="s">
        <v>574</v>
      </c>
      <c r="K102" s="33" t="s">
        <v>170</v>
      </c>
      <c r="L102" s="34" t="s">
        <v>587</v>
      </c>
      <c r="M102" s="17" t="s">
        <v>263</v>
      </c>
      <c r="N102" s="60" t="str">
        <f>"COMIENZA DICIENDO QUE ES EL RESUMEN DEL CURSO " &amp; B102 &amp; " DE EDUMIN, LUEGO HAZ EL RESUMEN Y FINALIZA INVITANDO A VER EL RESTO DE RECURSOS DE LAS ZONAS DE EDUMIN."</f>
        <v>COMIENZA DICIENDO QUE ES EL RESUMEN DEL CURSO INNOVACIÓN EN MINERÍA: APLICACIONES DE INTELIGENCIA ARTIFICIAL DE EDUMIN, LUEGO HAZ EL RESUMEN Y FINALIZA INVITANDO A VER EL RESTO DE RECURSOS DE LAS ZONAS DE EDUMIN.</v>
      </c>
      <c r="O102" s="18" t="s">
        <v>521</v>
      </c>
      <c r="P102" s="18" t="s">
        <v>507</v>
      </c>
      <c r="Q102" s="18" t="s">
        <v>522</v>
      </c>
      <c r="R102" s="18">
        <v>30.0</v>
      </c>
      <c r="S102" s="19"/>
      <c r="T102" s="21" t="s">
        <v>122</v>
      </c>
      <c r="U102" s="21" t="s">
        <v>124</v>
      </c>
      <c r="V102" s="19"/>
      <c r="W102" s="19"/>
      <c r="X102" s="19"/>
      <c r="Y102" s="19"/>
      <c r="Z102" s="19"/>
      <c r="AA102" s="19"/>
      <c r="AB102" s="19"/>
      <c r="AC102" s="19"/>
      <c r="AD102" s="19"/>
      <c r="AE102" s="19"/>
      <c r="AF102" s="19"/>
      <c r="AG102" s="19"/>
      <c r="AH102" s="19"/>
      <c r="AI102" s="19"/>
      <c r="AJ102" s="19"/>
      <c r="AK102" s="19"/>
      <c r="AL102" s="19"/>
      <c r="AM102" s="19"/>
    </row>
    <row r="103">
      <c r="A103" s="23"/>
      <c r="B103" s="23"/>
      <c r="C103" s="23"/>
      <c r="D103" s="23"/>
      <c r="E103" s="23"/>
      <c r="F103" s="23"/>
      <c r="G103" s="23"/>
      <c r="H103" s="61" t="s">
        <v>575</v>
      </c>
      <c r="I103" s="15" t="str">
        <f t="shared" si="2"/>
        <v>https://youtube.com/embed/DoOanHA3LSQ</v>
      </c>
      <c r="J103" s="15" t="s">
        <v>577</v>
      </c>
      <c r="K103" s="33" t="s">
        <v>185</v>
      </c>
      <c r="L103" s="34" t="s">
        <v>591</v>
      </c>
      <c r="M103" s="17" t="s">
        <v>263</v>
      </c>
      <c r="N103" s="17" t="s">
        <v>510</v>
      </c>
      <c r="O103" s="18"/>
      <c r="P103" s="18"/>
      <c r="Q103" s="18"/>
      <c r="R103" s="18"/>
      <c r="S103" s="19"/>
      <c r="T103" s="21"/>
      <c r="U103" s="21"/>
      <c r="V103" s="19"/>
      <c r="W103" s="19"/>
      <c r="X103" s="19"/>
      <c r="Y103" s="19"/>
      <c r="Z103" s="19"/>
      <c r="AA103" s="19"/>
      <c r="AB103" s="19"/>
      <c r="AC103" s="19"/>
      <c r="AD103" s="19"/>
      <c r="AE103" s="19"/>
      <c r="AF103" s="19"/>
      <c r="AG103" s="19"/>
      <c r="AH103" s="19"/>
      <c r="AI103" s="19"/>
      <c r="AJ103" s="19"/>
      <c r="AK103" s="19"/>
      <c r="AL103" s="19"/>
      <c r="AM103" s="19"/>
    </row>
    <row r="104">
      <c r="A104" s="23"/>
      <c r="B104" s="23"/>
      <c r="C104" s="23"/>
      <c r="D104" s="23"/>
      <c r="E104" s="23"/>
      <c r="F104" s="23"/>
      <c r="G104" s="23"/>
      <c r="H104" s="34" t="s">
        <v>579</v>
      </c>
      <c r="I104" s="15" t="str">
        <f t="shared" si="2"/>
        <v>https://youtube.com/embed/_86rzleYb-o</v>
      </c>
      <c r="J104" s="15" t="s">
        <v>580</v>
      </c>
      <c r="K104" s="33" t="s">
        <v>192</v>
      </c>
      <c r="L104" s="34" t="s">
        <v>593</v>
      </c>
      <c r="M104" s="17" t="s">
        <v>263</v>
      </c>
      <c r="N104" s="18"/>
      <c r="O104" s="18"/>
      <c r="P104" s="18"/>
      <c r="Q104" s="18"/>
      <c r="R104" s="18"/>
      <c r="S104" s="19"/>
      <c r="T104" s="21"/>
      <c r="U104" s="21"/>
      <c r="V104" s="19"/>
      <c r="W104" s="19"/>
      <c r="X104" s="19"/>
      <c r="Y104" s="19"/>
      <c r="Z104" s="19"/>
      <c r="AA104" s="19"/>
      <c r="AB104" s="19"/>
      <c r="AC104" s="19"/>
      <c r="AD104" s="19"/>
      <c r="AE104" s="19"/>
      <c r="AF104" s="19"/>
      <c r="AG104" s="19"/>
      <c r="AH104" s="19"/>
      <c r="AI104" s="19"/>
      <c r="AJ104" s="19"/>
      <c r="AK104" s="19"/>
      <c r="AL104" s="19"/>
      <c r="AM104" s="19"/>
    </row>
    <row r="105">
      <c r="A105" s="27"/>
      <c r="B105" s="27"/>
      <c r="C105" s="27"/>
      <c r="D105" s="27"/>
      <c r="E105" s="27"/>
      <c r="F105" s="27"/>
      <c r="G105" s="27"/>
      <c r="H105" s="34" t="s">
        <v>582</v>
      </c>
      <c r="I105" s="15" t="str">
        <f t="shared" si="2"/>
        <v>https://youtube.com/embed/EUetwM-YPOc</v>
      </c>
      <c r="J105" s="15" t="s">
        <v>583</v>
      </c>
      <c r="K105" s="33" t="s">
        <v>212</v>
      </c>
      <c r="L105" s="34" t="s">
        <v>597</v>
      </c>
      <c r="M105" s="17" t="s">
        <v>263</v>
      </c>
      <c r="N105" s="18"/>
      <c r="O105" s="18"/>
      <c r="P105" s="18"/>
      <c r="Q105" s="18"/>
      <c r="R105" s="18"/>
      <c r="S105" s="19"/>
      <c r="T105" s="21"/>
      <c r="U105" s="21"/>
      <c r="V105" s="19"/>
      <c r="W105" s="19"/>
      <c r="X105" s="19"/>
      <c r="Y105" s="19"/>
      <c r="Z105" s="19"/>
      <c r="AA105" s="19"/>
      <c r="AB105" s="19"/>
      <c r="AC105" s="19"/>
      <c r="AD105" s="19"/>
      <c r="AE105" s="19"/>
      <c r="AF105" s="19"/>
      <c r="AG105" s="19"/>
      <c r="AH105" s="19"/>
      <c r="AI105" s="19"/>
      <c r="AJ105" s="19"/>
      <c r="AK105" s="19"/>
      <c r="AL105" s="19"/>
      <c r="AM105" s="19"/>
    </row>
    <row r="106">
      <c r="A106" s="28" t="s">
        <v>584</v>
      </c>
      <c r="B106" s="26" t="str">
        <f>TRIM(MID(A106, SEARCH("- ", A106) + 2, LEN(A106)))
</f>
        <v>AUTOMATIZACIÓN 4.0 EN PROCESOS MINEROS</v>
      </c>
      <c r="C106" s="13" t="s">
        <v>77</v>
      </c>
      <c r="D106" s="13" t="s">
        <v>77</v>
      </c>
      <c r="E106" s="13" t="s">
        <v>77</v>
      </c>
      <c r="F106" s="13" t="s">
        <v>65</v>
      </c>
      <c r="G106" s="13" t="s">
        <v>77</v>
      </c>
      <c r="H106" s="34" t="s">
        <v>585</v>
      </c>
      <c r="I106" s="15" t="str">
        <f t="shared" si="2"/>
        <v>https://youtube.com/embed/0ElbNyPBwtM</v>
      </c>
      <c r="J106" s="15" t="s">
        <v>586</v>
      </c>
      <c r="K106" s="33" t="s">
        <v>170</v>
      </c>
      <c r="L106" s="34" t="s">
        <v>600</v>
      </c>
      <c r="M106" s="17" t="s">
        <v>263</v>
      </c>
      <c r="N106" s="60" t="str">
        <f>"COMIENZA DICIENDO QUE ES EL RESUMEN DEL CURSO " &amp; B106 &amp; " DE EDUMIN, LUEGO HAZ EL RESUMEN Y FINALIZA INVITANDO A VER EL RESTO DE RECURSOS DE LAS ZONAS DE EDUMIN."</f>
        <v>COMIENZA DICIENDO QUE ES EL RESUMEN DEL CURSO AUTOMATIZACIÓN 4.0 EN PROCESOS MINEROS DE EDUMIN, LUEGO HAZ EL RESUMEN Y FINALIZA INVITANDO A VER EL RESTO DE RECURSOS DE LAS ZONAS DE EDUMIN.</v>
      </c>
      <c r="O106" s="18" t="s">
        <v>521</v>
      </c>
      <c r="P106" s="18" t="s">
        <v>507</v>
      </c>
      <c r="Q106" s="18" t="s">
        <v>522</v>
      </c>
      <c r="R106" s="18">
        <v>30.0</v>
      </c>
      <c r="S106" s="19"/>
      <c r="T106" s="21" t="s">
        <v>122</v>
      </c>
      <c r="U106" s="21" t="s">
        <v>124</v>
      </c>
      <c r="V106" s="19"/>
      <c r="W106" s="19"/>
      <c r="X106" s="19"/>
      <c r="Y106" s="19"/>
      <c r="Z106" s="19"/>
      <c r="AA106" s="19"/>
      <c r="AB106" s="19"/>
      <c r="AC106" s="19"/>
      <c r="AD106" s="19"/>
      <c r="AE106" s="19"/>
      <c r="AF106" s="19"/>
      <c r="AG106" s="19"/>
      <c r="AH106" s="19"/>
      <c r="AI106" s="19"/>
      <c r="AJ106" s="19"/>
      <c r="AK106" s="19"/>
      <c r="AL106" s="19"/>
      <c r="AM106" s="19"/>
    </row>
    <row r="107">
      <c r="A107" s="23"/>
      <c r="B107" s="23"/>
      <c r="C107" s="23"/>
      <c r="D107" s="23"/>
      <c r="E107" s="23"/>
      <c r="F107" s="23"/>
      <c r="G107" s="23"/>
      <c r="H107" s="34" t="s">
        <v>588</v>
      </c>
      <c r="I107" s="15" t="str">
        <f t="shared" si="2"/>
        <v>https://youtube.com/embed/h_TQ1jvN12s</v>
      </c>
      <c r="J107" s="15" t="s">
        <v>589</v>
      </c>
      <c r="K107" s="33" t="s">
        <v>185</v>
      </c>
      <c r="L107" s="34" t="s">
        <v>603</v>
      </c>
      <c r="M107" s="17" t="s">
        <v>263</v>
      </c>
      <c r="N107" s="17" t="s">
        <v>510</v>
      </c>
      <c r="O107" s="18"/>
      <c r="P107" s="18"/>
      <c r="Q107" s="18"/>
      <c r="R107" s="18"/>
      <c r="S107" s="19"/>
      <c r="T107" s="21"/>
      <c r="U107" s="21"/>
      <c r="V107" s="19"/>
      <c r="W107" s="19"/>
      <c r="X107" s="19"/>
      <c r="Y107" s="19"/>
      <c r="Z107" s="19"/>
      <c r="AA107" s="19"/>
      <c r="AB107" s="19"/>
      <c r="AC107" s="19"/>
      <c r="AD107" s="19"/>
      <c r="AE107" s="19"/>
      <c r="AF107" s="19"/>
      <c r="AG107" s="19"/>
      <c r="AH107" s="19"/>
      <c r="AI107" s="19"/>
      <c r="AJ107" s="19"/>
      <c r="AK107" s="19"/>
      <c r="AL107" s="19"/>
      <c r="AM107" s="19"/>
    </row>
    <row r="108">
      <c r="A108" s="23"/>
      <c r="B108" s="23"/>
      <c r="C108" s="23"/>
      <c r="D108" s="23"/>
      <c r="E108" s="23"/>
      <c r="F108" s="23"/>
      <c r="G108" s="23"/>
      <c r="H108" s="34" t="s">
        <v>590</v>
      </c>
      <c r="I108" s="15" t="str">
        <f t="shared" si="2"/>
        <v>https://youtube.com/embed/rbPA4IRapII</v>
      </c>
      <c r="J108" s="15" t="s">
        <v>592</v>
      </c>
      <c r="K108" s="33" t="s">
        <v>192</v>
      </c>
      <c r="L108" s="34" t="s">
        <v>606</v>
      </c>
      <c r="M108" s="17" t="s">
        <v>263</v>
      </c>
      <c r="N108" s="18"/>
      <c r="O108" s="18"/>
      <c r="P108" s="18"/>
      <c r="Q108" s="18"/>
      <c r="R108" s="18"/>
      <c r="S108" s="19"/>
      <c r="T108" s="21"/>
      <c r="U108" s="21"/>
      <c r="V108" s="19"/>
      <c r="W108" s="19"/>
      <c r="X108" s="19"/>
      <c r="Y108" s="19"/>
      <c r="Z108" s="19"/>
      <c r="AA108" s="19"/>
      <c r="AB108" s="19"/>
      <c r="AC108" s="19"/>
      <c r="AD108" s="19"/>
      <c r="AE108" s="19"/>
      <c r="AF108" s="19"/>
      <c r="AG108" s="19"/>
      <c r="AH108" s="19"/>
      <c r="AI108" s="19"/>
      <c r="AJ108" s="19"/>
      <c r="AK108" s="19"/>
      <c r="AL108" s="19"/>
      <c r="AM108" s="19"/>
    </row>
    <row r="109">
      <c r="A109" s="27"/>
      <c r="B109" s="27"/>
      <c r="C109" s="27"/>
      <c r="D109" s="27"/>
      <c r="E109" s="27"/>
      <c r="F109" s="27"/>
      <c r="G109" s="27"/>
      <c r="H109" s="34" t="s">
        <v>594</v>
      </c>
      <c r="I109" s="15" t="str">
        <f t="shared" si="2"/>
        <v>https://youtube.com/embed/sEjoIrWkxiI</v>
      </c>
      <c r="J109" s="15" t="s">
        <v>595</v>
      </c>
      <c r="K109" s="33" t="s">
        <v>212</v>
      </c>
      <c r="L109" s="34" t="s">
        <v>608</v>
      </c>
      <c r="M109" s="17" t="s">
        <v>263</v>
      </c>
      <c r="N109" s="18"/>
      <c r="O109" s="18"/>
      <c r="P109" s="18"/>
      <c r="Q109" s="18"/>
      <c r="R109" s="18"/>
      <c r="S109" s="19"/>
      <c r="T109" s="21"/>
      <c r="U109" s="21"/>
      <c r="V109" s="19"/>
      <c r="W109" s="19"/>
      <c r="X109" s="19"/>
      <c r="Y109" s="19"/>
      <c r="Z109" s="19"/>
      <c r="AA109" s="19"/>
      <c r="AB109" s="19"/>
      <c r="AC109" s="19"/>
      <c r="AD109" s="19"/>
      <c r="AE109" s="19"/>
      <c r="AF109" s="19"/>
      <c r="AG109" s="19"/>
      <c r="AH109" s="19"/>
      <c r="AI109" s="19"/>
      <c r="AJ109" s="19"/>
      <c r="AK109" s="19"/>
      <c r="AL109" s="19"/>
      <c r="AM109" s="19"/>
    </row>
    <row r="110">
      <c r="A110" s="26" t="s">
        <v>596</v>
      </c>
      <c r="B110" s="26" t="str">
        <f>TRIM(MID(A110, SEARCH("- ", A110) + 2, LEN(A110)))
</f>
        <v>CADENA DE SUMINISTRO LOGÍSTICA Y DISTRIBUCIÓN</v>
      </c>
      <c r="C110" s="13" t="s">
        <v>77</v>
      </c>
      <c r="D110" s="13" t="s">
        <v>77</v>
      </c>
      <c r="E110" s="13" t="s">
        <v>77</v>
      </c>
      <c r="F110" s="13" t="s">
        <v>63</v>
      </c>
      <c r="G110" s="13" t="s">
        <v>77</v>
      </c>
      <c r="H110" s="34" t="s">
        <v>598</v>
      </c>
      <c r="I110" s="15" t="str">
        <f t="shared" si="2"/>
        <v>https://youtube.com/embed/gCgiRZk59tw</v>
      </c>
      <c r="J110" s="15" t="s">
        <v>599</v>
      </c>
      <c r="K110" s="33" t="s">
        <v>170</v>
      </c>
      <c r="L110" s="34" t="s">
        <v>612</v>
      </c>
      <c r="M110" s="17" t="s">
        <v>114</v>
      </c>
      <c r="N110" s="56" t="str">
        <f>"COMIENZA DICIENDO QUE ES EL RESUMEN DEL CURSO " &amp; B110 &amp; " DE EDUMIN, LUEGO HAZ EL RESUMEN Y FINALIZA INVITANDO A VER EL RESTO DE RECURSOS DE LAS ZONAS DE EDUMIN."</f>
        <v>COMIENZA DICIENDO QUE ES EL RESUMEN DEL CURSO CADENA DE SUMINISTRO LOGÍSTICA Y DISTRIBUCIÓN DE EDUMIN, LUEGO HAZ EL RESUMEN Y FINALIZA INVITANDO A VER EL RESTO DE RECURSOS DE LAS ZONAS DE EDUMIN.</v>
      </c>
      <c r="O110" s="18" t="s">
        <v>365</v>
      </c>
      <c r="P110" s="18" t="s">
        <v>506</v>
      </c>
      <c r="Q110" s="18" t="s">
        <v>507</v>
      </c>
      <c r="R110" s="18">
        <v>30.0</v>
      </c>
      <c r="S110" s="19"/>
      <c r="T110" s="21" t="s">
        <v>122</v>
      </c>
      <c r="U110" s="21" t="s">
        <v>124</v>
      </c>
      <c r="V110" s="19"/>
      <c r="W110" s="19"/>
      <c r="X110" s="19"/>
      <c r="Y110" s="19"/>
      <c r="Z110" s="19"/>
      <c r="AA110" s="19"/>
      <c r="AB110" s="19"/>
      <c r="AC110" s="19"/>
      <c r="AD110" s="19"/>
      <c r="AE110" s="19"/>
      <c r="AF110" s="19"/>
      <c r="AG110" s="19"/>
      <c r="AH110" s="19"/>
      <c r="AI110" s="19"/>
      <c r="AJ110" s="19"/>
      <c r="AK110" s="19"/>
      <c r="AL110" s="19"/>
      <c r="AM110" s="19"/>
    </row>
    <row r="111">
      <c r="A111" s="23"/>
      <c r="B111" s="23"/>
      <c r="C111" s="23"/>
      <c r="D111" s="23"/>
      <c r="E111" s="23"/>
      <c r="F111" s="23"/>
      <c r="G111" s="23"/>
      <c r="H111" s="34" t="s">
        <v>601</v>
      </c>
      <c r="I111" s="15" t="str">
        <f t="shared" si="2"/>
        <v>https://youtube.com/embed/U9puCgZI0jA</v>
      </c>
      <c r="J111" s="15" t="s">
        <v>602</v>
      </c>
      <c r="K111" s="33" t="s">
        <v>185</v>
      </c>
      <c r="L111" s="34" t="s">
        <v>616</v>
      </c>
      <c r="M111" s="17" t="s">
        <v>114</v>
      </c>
      <c r="N111" s="37"/>
      <c r="O111" s="18"/>
      <c r="P111" s="18"/>
      <c r="Q111" s="18"/>
      <c r="R111" s="18"/>
      <c r="S111" s="19"/>
      <c r="T111" s="21"/>
      <c r="U111" s="21"/>
      <c r="V111" s="19"/>
      <c r="W111" s="19"/>
      <c r="X111" s="19"/>
      <c r="Y111" s="19"/>
      <c r="Z111" s="19"/>
      <c r="AA111" s="19"/>
      <c r="AB111" s="19"/>
      <c r="AC111" s="19"/>
      <c r="AD111" s="19"/>
      <c r="AE111" s="19"/>
      <c r="AF111" s="19"/>
      <c r="AG111" s="19"/>
      <c r="AH111" s="19"/>
      <c r="AI111" s="19"/>
      <c r="AJ111" s="19"/>
      <c r="AK111" s="19"/>
      <c r="AL111" s="19"/>
      <c r="AM111" s="19"/>
    </row>
    <row r="112">
      <c r="A112" s="23"/>
      <c r="B112" s="23"/>
      <c r="C112" s="23"/>
      <c r="D112" s="23"/>
      <c r="E112" s="23"/>
      <c r="F112" s="23"/>
      <c r="G112" s="23"/>
      <c r="H112" s="34" t="s">
        <v>604</v>
      </c>
      <c r="I112" s="15" t="str">
        <f t="shared" si="2"/>
        <v>https://youtube.com/embed/vkbMBFcq3Kg</v>
      </c>
      <c r="J112" s="15" t="s">
        <v>605</v>
      </c>
      <c r="K112" s="33" t="s">
        <v>192</v>
      </c>
      <c r="L112" s="34" t="s">
        <v>619</v>
      </c>
      <c r="M112" s="17" t="s">
        <v>114</v>
      </c>
      <c r="N112" s="37"/>
      <c r="O112" s="18"/>
      <c r="P112" s="18"/>
      <c r="Q112" s="18"/>
      <c r="R112" s="18"/>
      <c r="S112" s="19"/>
      <c r="T112" s="21"/>
      <c r="U112" s="21"/>
      <c r="V112" s="19"/>
      <c r="W112" s="19"/>
      <c r="X112" s="19"/>
      <c r="Y112" s="19"/>
      <c r="Z112" s="19"/>
      <c r="AA112" s="19"/>
      <c r="AB112" s="19"/>
      <c r="AC112" s="19"/>
      <c r="AD112" s="19"/>
      <c r="AE112" s="19"/>
      <c r="AF112" s="19"/>
      <c r="AG112" s="19"/>
      <c r="AH112" s="19"/>
      <c r="AI112" s="19"/>
      <c r="AJ112" s="19"/>
      <c r="AK112" s="19"/>
      <c r="AL112" s="19"/>
      <c r="AM112" s="19"/>
    </row>
    <row r="113">
      <c r="A113" s="27"/>
      <c r="B113" s="27"/>
      <c r="C113" s="27"/>
      <c r="D113" s="27"/>
      <c r="E113" s="27"/>
      <c r="F113" s="27"/>
      <c r="G113" s="27"/>
      <c r="H113" s="57" t="s">
        <v>620</v>
      </c>
      <c r="I113" s="15" t="str">
        <f t="shared" si="2"/>
        <v>https://youtube.com/embed/TmsPeJtt6-I</v>
      </c>
      <c r="J113" s="15" t="s">
        <v>609</v>
      </c>
      <c r="K113" s="33" t="s">
        <v>212</v>
      </c>
      <c r="L113" s="34" t="s">
        <v>624</v>
      </c>
      <c r="M113" s="17" t="s">
        <v>114</v>
      </c>
      <c r="N113" s="37"/>
      <c r="O113" s="18"/>
      <c r="P113" s="18"/>
      <c r="Q113" s="18"/>
      <c r="R113" s="18"/>
      <c r="S113" s="19"/>
      <c r="T113" s="21"/>
      <c r="U113" s="21"/>
      <c r="V113" s="19"/>
      <c r="W113" s="19"/>
      <c r="X113" s="19"/>
      <c r="Y113" s="19"/>
      <c r="Z113" s="19"/>
      <c r="AA113" s="19"/>
      <c r="AB113" s="19"/>
      <c r="AC113" s="19"/>
      <c r="AD113" s="19"/>
      <c r="AE113" s="19"/>
      <c r="AF113" s="19"/>
      <c r="AG113" s="19"/>
      <c r="AH113" s="19"/>
      <c r="AI113" s="19"/>
      <c r="AJ113" s="19"/>
      <c r="AK113" s="19"/>
      <c r="AL113" s="19"/>
      <c r="AM113" s="19"/>
    </row>
    <row r="114">
      <c r="A114" s="26" t="s">
        <v>610</v>
      </c>
      <c r="B114" s="26" t="str">
        <f>TRIM(MID(A114, SEARCH("- ", A114) + 2, LEN(A114)))
</f>
        <v>MEJORA DE LOS MÉTODOS Y MEDICIÓN DE LOS RECURSOS</v>
      </c>
      <c r="C114" s="13" t="s">
        <v>77</v>
      </c>
      <c r="D114" s="13" t="s">
        <v>77</v>
      </c>
      <c r="E114" s="13" t="s">
        <v>77</v>
      </c>
      <c r="F114" s="13" t="s">
        <v>62</v>
      </c>
      <c r="G114" s="13" t="s">
        <v>77</v>
      </c>
      <c r="H114" s="57" t="s">
        <v>627</v>
      </c>
      <c r="I114" s="15" t="str">
        <f t="shared" si="2"/>
        <v>https://youtube.com/embed/-J8t1GpTXog</v>
      </c>
      <c r="J114" s="15" t="s">
        <v>613</v>
      </c>
      <c r="K114" s="33" t="str">
        <f>IFERROR(__xludf.DUMMYFUNCTION("CONCATENATE(""CLASE 0"",REGEXEXTRACT(H114,""[\d]+""))"),"CLASE 01")</f>
        <v>CLASE 01</v>
      </c>
      <c r="L114" s="34" t="s">
        <v>629</v>
      </c>
      <c r="M114" s="17" t="s">
        <v>510</v>
      </c>
      <c r="N114" s="65" t="s">
        <v>263</v>
      </c>
      <c r="O114" s="18" t="s">
        <v>521</v>
      </c>
      <c r="P114" s="18" t="s">
        <v>507</v>
      </c>
      <c r="Q114" s="18" t="s">
        <v>522</v>
      </c>
      <c r="R114" s="18">
        <v>30.0</v>
      </c>
      <c r="S114" s="19"/>
      <c r="T114" s="21" t="s">
        <v>122</v>
      </c>
      <c r="U114" s="21" t="s">
        <v>124</v>
      </c>
      <c r="V114" s="19"/>
      <c r="W114" s="19"/>
      <c r="X114" s="19"/>
      <c r="Y114" s="19"/>
      <c r="Z114" s="19"/>
      <c r="AA114" s="19"/>
      <c r="AB114" s="19"/>
      <c r="AC114" s="19"/>
      <c r="AD114" s="19"/>
      <c r="AE114" s="19"/>
      <c r="AF114" s="19"/>
      <c r="AG114" s="19"/>
      <c r="AH114" s="19"/>
      <c r="AI114" s="19"/>
      <c r="AJ114" s="19"/>
      <c r="AK114" s="19"/>
      <c r="AL114" s="19"/>
      <c r="AM114" s="19"/>
    </row>
    <row r="115">
      <c r="A115" s="23"/>
      <c r="B115" s="23"/>
      <c r="C115" s="23"/>
      <c r="D115" s="23"/>
      <c r="E115" s="23"/>
      <c r="F115" s="23"/>
      <c r="G115" s="23"/>
      <c r="H115" s="34" t="s">
        <v>614</v>
      </c>
      <c r="I115" s="15" t="str">
        <f t="shared" si="2"/>
        <v>https://youtube.com/embed/yFPOkT6G14I</v>
      </c>
      <c r="J115" s="15" t="s">
        <v>615</v>
      </c>
      <c r="K115" s="33" t="str">
        <f>IFERROR(__xludf.DUMMYFUNCTION("CONCATENATE(""CLASE 0"",REGEXEXTRACT(H115,""[\d]+""))"),"CLASE 02")</f>
        <v>CLASE 02</v>
      </c>
      <c r="L115" s="34" t="s">
        <v>632</v>
      </c>
      <c r="M115" s="17" t="s">
        <v>263</v>
      </c>
      <c r="N115" s="23"/>
      <c r="O115" s="18"/>
      <c r="P115" s="18"/>
      <c r="Q115" s="18"/>
      <c r="R115" s="18"/>
      <c r="S115" s="19"/>
      <c r="T115" s="21"/>
      <c r="U115" s="21"/>
      <c r="V115" s="19"/>
      <c r="W115" s="19"/>
      <c r="X115" s="19"/>
      <c r="Y115" s="19"/>
      <c r="Z115" s="19"/>
      <c r="AA115" s="19"/>
      <c r="AB115" s="19"/>
      <c r="AC115" s="19"/>
      <c r="AD115" s="19"/>
      <c r="AE115" s="19"/>
      <c r="AF115" s="19"/>
      <c r="AG115" s="19"/>
      <c r="AH115" s="19"/>
      <c r="AI115" s="19"/>
      <c r="AJ115" s="19"/>
      <c r="AK115" s="19"/>
      <c r="AL115" s="19"/>
      <c r="AM115" s="19"/>
    </row>
    <row r="116">
      <c r="A116" s="23"/>
      <c r="B116" s="23"/>
      <c r="C116" s="23"/>
      <c r="D116" s="23"/>
      <c r="E116" s="23"/>
      <c r="F116" s="23"/>
      <c r="G116" s="23"/>
      <c r="H116" s="34" t="s">
        <v>617</v>
      </c>
      <c r="I116" s="15" t="str">
        <f t="shared" si="2"/>
        <v>https://youtube.com/embed/kjR39tM2ayw</v>
      </c>
      <c r="J116" s="15" t="s">
        <v>618</v>
      </c>
      <c r="K116" s="33" t="str">
        <f>IFERROR(__xludf.DUMMYFUNCTION("CONCATENATE(""CLASE 0"",REGEXEXTRACT(H116,""[\d]+""))"),"CLASE 03")</f>
        <v>CLASE 03</v>
      </c>
      <c r="L116" s="34" t="s">
        <v>635</v>
      </c>
      <c r="M116" s="17" t="s">
        <v>263</v>
      </c>
      <c r="N116" s="23"/>
      <c r="O116" s="18"/>
      <c r="P116" s="18"/>
      <c r="Q116" s="18"/>
      <c r="R116" s="18"/>
      <c r="S116" s="19"/>
      <c r="T116" s="21"/>
      <c r="U116" s="21"/>
      <c r="V116" s="19"/>
      <c r="W116" s="19"/>
      <c r="X116" s="19"/>
      <c r="Y116" s="19"/>
      <c r="Z116" s="19"/>
      <c r="AA116" s="19"/>
      <c r="AB116" s="19"/>
      <c r="AC116" s="19"/>
      <c r="AD116" s="19"/>
      <c r="AE116" s="19"/>
      <c r="AF116" s="19"/>
      <c r="AG116" s="19"/>
      <c r="AH116" s="19"/>
      <c r="AI116" s="19"/>
      <c r="AJ116" s="19"/>
      <c r="AK116" s="19"/>
      <c r="AL116" s="19"/>
      <c r="AM116" s="19"/>
    </row>
    <row r="117">
      <c r="A117" s="27"/>
      <c r="B117" s="27"/>
      <c r="C117" s="27"/>
      <c r="D117" s="27"/>
      <c r="E117" s="27"/>
      <c r="F117" s="27"/>
      <c r="G117" s="27"/>
      <c r="H117" s="34" t="s">
        <v>621</v>
      </c>
      <c r="I117" s="15" t="str">
        <f t="shared" si="2"/>
        <v>https://youtube.com/embed/ASmOYrJU964</v>
      </c>
      <c r="J117" s="32" t="s">
        <v>622</v>
      </c>
      <c r="K117" s="33" t="str">
        <f>IFERROR(__xludf.DUMMYFUNCTION("CONCATENATE(""CLASE 0"",REGEXEXTRACT(H117,""[\d]+""))"),"CLASE 04")</f>
        <v>CLASE 04</v>
      </c>
      <c r="L117" s="34" t="s">
        <v>638</v>
      </c>
      <c r="M117" s="17" t="s">
        <v>263</v>
      </c>
      <c r="N117" s="27"/>
      <c r="O117" s="18"/>
      <c r="P117" s="18"/>
      <c r="Q117" s="18"/>
      <c r="R117" s="18"/>
      <c r="S117" s="19"/>
      <c r="T117" s="21"/>
      <c r="U117" s="21"/>
      <c r="V117" s="19"/>
      <c r="W117" s="19"/>
      <c r="X117" s="19"/>
      <c r="Y117" s="19"/>
      <c r="Z117" s="19"/>
      <c r="AA117" s="19"/>
      <c r="AB117" s="19"/>
      <c r="AC117" s="19"/>
      <c r="AD117" s="19"/>
      <c r="AE117" s="19"/>
      <c r="AF117" s="19"/>
      <c r="AG117" s="19"/>
      <c r="AH117" s="19"/>
      <c r="AI117" s="19"/>
      <c r="AJ117" s="19"/>
      <c r="AK117" s="19"/>
      <c r="AL117" s="19"/>
      <c r="AM117" s="19"/>
    </row>
    <row r="118">
      <c r="A118" s="26" t="s">
        <v>623</v>
      </c>
      <c r="B118" s="26" t="str">
        <f>TRIM(MID(A118, SEARCH("- ", A118) + 2, LEN(A118)))
</f>
        <v>INTRODUCCIÓN A LA GESTIÓN DE PROYECTOS</v>
      </c>
      <c r="C118" s="13" t="s">
        <v>77</v>
      </c>
      <c r="D118" s="13" t="s">
        <v>77</v>
      </c>
      <c r="E118" s="13" t="s">
        <v>77</v>
      </c>
      <c r="F118" s="13" t="s">
        <v>62</v>
      </c>
      <c r="G118" s="13" t="s">
        <v>77</v>
      </c>
      <c r="H118" s="34" t="s">
        <v>625</v>
      </c>
      <c r="I118" s="15" t="str">
        <f t="shared" si="2"/>
        <v>https://youtube.com/embed/DRQa8OGwsCg</v>
      </c>
      <c r="J118" s="15" t="s">
        <v>626</v>
      </c>
      <c r="K118" s="33" t="str">
        <f>IFERROR(__xludf.DUMMYFUNCTION("CONCATENATE(""CLASE 0"",REGEXEXTRACT(H118,""[\d]+""))"),"CLASE 01")</f>
        <v>CLASE 01</v>
      </c>
      <c r="L118" s="34" t="s">
        <v>641</v>
      </c>
      <c r="M118" s="17" t="s">
        <v>263</v>
      </c>
      <c r="N118" s="65" t="s">
        <v>263</v>
      </c>
      <c r="O118" s="18" t="s">
        <v>521</v>
      </c>
      <c r="P118" s="18" t="s">
        <v>507</v>
      </c>
      <c r="Q118" s="18" t="s">
        <v>522</v>
      </c>
      <c r="R118" s="18">
        <v>30.0</v>
      </c>
      <c r="S118" s="19"/>
      <c r="T118" s="21" t="s">
        <v>122</v>
      </c>
      <c r="U118" s="21" t="s">
        <v>124</v>
      </c>
      <c r="V118" s="19"/>
      <c r="W118" s="19"/>
      <c r="X118" s="19"/>
      <c r="Y118" s="19"/>
      <c r="Z118" s="19"/>
      <c r="AA118" s="19"/>
      <c r="AB118" s="19"/>
      <c r="AC118" s="19"/>
      <c r="AD118" s="19"/>
      <c r="AE118" s="19"/>
      <c r="AF118" s="19"/>
      <c r="AG118" s="19"/>
      <c r="AH118" s="19"/>
      <c r="AI118" s="19"/>
      <c r="AJ118" s="19"/>
      <c r="AK118" s="19"/>
      <c r="AL118" s="19"/>
      <c r="AM118" s="19"/>
    </row>
    <row r="119">
      <c r="A119" s="23"/>
      <c r="B119" s="23"/>
      <c r="C119" s="23"/>
      <c r="D119" s="23"/>
      <c r="E119" s="23"/>
      <c r="F119" s="23"/>
      <c r="G119" s="23"/>
      <c r="H119" s="57" t="s">
        <v>647</v>
      </c>
      <c r="I119" s="15" t="str">
        <f t="shared" si="2"/>
        <v>https://www.youtube.com/embed/5QfpFKXkod8</v>
      </c>
      <c r="J119" s="15" t="s">
        <v>630</v>
      </c>
      <c r="K119" s="33" t="str">
        <f>IFERROR(__xludf.DUMMYFUNCTION("CONCATENATE(""CLASE 0"",REGEXEXTRACT(H119,""[\d]+""))"),"CLASE 02")</f>
        <v>CLASE 02</v>
      </c>
      <c r="L119" s="34" t="s">
        <v>650</v>
      </c>
      <c r="M119" s="17" t="s">
        <v>263</v>
      </c>
      <c r="N119" s="23"/>
      <c r="O119" s="18"/>
      <c r="P119" s="18"/>
      <c r="Q119" s="18"/>
      <c r="R119" s="18"/>
      <c r="S119" s="19"/>
      <c r="T119" s="21"/>
      <c r="U119" s="21"/>
      <c r="V119" s="19"/>
      <c r="W119" s="19"/>
      <c r="X119" s="19"/>
      <c r="Y119" s="19"/>
      <c r="Z119" s="19"/>
      <c r="AA119" s="19"/>
      <c r="AB119" s="19"/>
      <c r="AC119" s="19"/>
      <c r="AD119" s="19"/>
      <c r="AE119" s="19"/>
      <c r="AF119" s="19"/>
      <c r="AG119" s="19"/>
      <c r="AH119" s="19"/>
      <c r="AI119" s="19"/>
      <c r="AJ119" s="19"/>
      <c r="AK119" s="19"/>
      <c r="AL119" s="19"/>
      <c r="AM119" s="19"/>
    </row>
    <row r="120">
      <c r="A120" s="23"/>
      <c r="B120" s="23"/>
      <c r="C120" s="23"/>
      <c r="D120" s="23"/>
      <c r="E120" s="23"/>
      <c r="F120" s="23"/>
      <c r="G120" s="23"/>
      <c r="H120" s="34" t="s">
        <v>631</v>
      </c>
      <c r="I120" s="15" t="str">
        <f t="shared" si="2"/>
        <v>https://youtube.com/embed/GL8EbzyF4ck</v>
      </c>
      <c r="J120" s="15" t="s">
        <v>633</v>
      </c>
      <c r="K120" s="33" t="str">
        <f>IFERROR(__xludf.DUMMYFUNCTION("CONCATENATE(""CLASE 0"",REGEXEXTRACT(H120,""[\d]+""))"),"CLASE 03")</f>
        <v>CLASE 03</v>
      </c>
      <c r="L120" s="34" t="s">
        <v>654</v>
      </c>
      <c r="M120" s="17" t="s">
        <v>263</v>
      </c>
      <c r="N120" s="23"/>
      <c r="O120" s="18"/>
      <c r="P120" s="18"/>
      <c r="Q120" s="18"/>
      <c r="R120" s="18"/>
      <c r="S120" s="19"/>
      <c r="T120" s="21"/>
      <c r="U120" s="21"/>
      <c r="V120" s="19"/>
      <c r="W120" s="19"/>
      <c r="X120" s="19"/>
      <c r="Y120" s="19"/>
      <c r="Z120" s="19"/>
      <c r="AA120" s="19"/>
      <c r="AB120" s="19"/>
      <c r="AC120" s="19"/>
      <c r="AD120" s="19"/>
      <c r="AE120" s="19"/>
      <c r="AF120" s="19"/>
      <c r="AG120" s="19"/>
      <c r="AH120" s="19"/>
      <c r="AI120" s="19"/>
      <c r="AJ120" s="19"/>
      <c r="AK120" s="19"/>
      <c r="AL120" s="19"/>
      <c r="AM120" s="19"/>
    </row>
    <row r="121">
      <c r="A121" s="27"/>
      <c r="B121" s="27"/>
      <c r="C121" s="27"/>
      <c r="D121" s="27"/>
      <c r="E121" s="27"/>
      <c r="F121" s="27"/>
      <c r="G121" s="27"/>
      <c r="H121" s="34" t="s">
        <v>634</v>
      </c>
      <c r="I121" s="15" t="str">
        <f t="shared" si="2"/>
        <v>https://youtube.com/embed/QO3y3kPZzgs</v>
      </c>
      <c r="J121" s="15" t="s">
        <v>636</v>
      </c>
      <c r="K121" s="33" t="str">
        <f>IFERROR(__xludf.DUMMYFUNCTION("CONCATENATE(""CLASE 0"",REGEXEXTRACT(H121,""[\d]+""))"),"CLASE 04")</f>
        <v>CLASE 04</v>
      </c>
      <c r="L121" s="34" t="s">
        <v>657</v>
      </c>
      <c r="M121" s="17" t="s">
        <v>263</v>
      </c>
      <c r="N121" s="27"/>
      <c r="O121" s="18"/>
      <c r="P121" s="18"/>
      <c r="Q121" s="18"/>
      <c r="R121" s="18"/>
      <c r="S121" s="19"/>
      <c r="T121" s="21"/>
      <c r="U121" s="21"/>
      <c r="V121" s="19"/>
      <c r="W121" s="19"/>
      <c r="X121" s="19"/>
      <c r="Y121" s="19"/>
      <c r="Z121" s="19"/>
      <c r="AA121" s="19"/>
      <c r="AB121" s="19"/>
      <c r="AC121" s="19"/>
      <c r="AD121" s="19"/>
      <c r="AE121" s="19"/>
      <c r="AF121" s="19"/>
      <c r="AG121" s="19"/>
      <c r="AH121" s="19"/>
      <c r="AI121" s="19"/>
      <c r="AJ121" s="19"/>
      <c r="AK121" s="19"/>
      <c r="AL121" s="19"/>
      <c r="AM121" s="19"/>
    </row>
    <row r="122">
      <c r="A122" s="28" t="s">
        <v>637</v>
      </c>
      <c r="B122" s="26" t="str">
        <f>TRIM(MID(A122, SEARCH("- ", A122) + 2, LEN(A122)))
</f>
        <v>ARQUITECTURA DE DATOS: LA IMPORTANCIA DEL DISEÑO, COMPONENTES, FUNCIÓN, CONFIGURACIÓN Y PATRONES</v>
      </c>
      <c r="C122" s="13" t="s">
        <v>77</v>
      </c>
      <c r="D122" s="13" t="s">
        <v>77</v>
      </c>
      <c r="E122" s="13" t="s">
        <v>77</v>
      </c>
      <c r="F122" s="13" t="s">
        <v>62</v>
      </c>
      <c r="G122" s="13" t="s">
        <v>77</v>
      </c>
      <c r="H122" s="67" t="s">
        <v>639</v>
      </c>
      <c r="I122" s="15" t="str">
        <f t="shared" si="2"/>
        <v>https://youtube.com/embed/Sq9R4XgMZCU</v>
      </c>
      <c r="J122" s="32" t="s">
        <v>640</v>
      </c>
      <c r="K122" s="33" t="s">
        <v>170</v>
      </c>
      <c r="L122" s="34" t="s">
        <v>664</v>
      </c>
      <c r="M122" s="17" t="s">
        <v>263</v>
      </c>
      <c r="N122" s="60" t="str">
        <f>"COMIENZA DICIENDO QUE ES EL RESUMEN DEL CURSO " &amp; B122 &amp; " DE EDUMIN, LUEGO HAZ EL RESUMEN Y FINALIZA INVITANDO A VER EL RESTO DE RECURSOS DE LAS ZONAS DE EDUMIN."</f>
        <v>COMIENZA DICIENDO QUE ES EL RESUMEN DEL CURSO ARQUITECTURA DE DATOS: LA IMPORTANCIA DEL DISEÑO, COMPONENTES, FUNCIÓN, CONFIGURACIÓN Y PATRONES DE EDUMIN, LUEGO HAZ EL RESUMEN Y FINALIZA INVITANDO A VER EL RESTO DE RECURSOS DE LAS ZONAS DE EDUMIN.</v>
      </c>
      <c r="O122" s="18" t="s">
        <v>642</v>
      </c>
      <c r="P122" s="18" t="s">
        <v>643</v>
      </c>
      <c r="Q122" s="18" t="s">
        <v>644</v>
      </c>
      <c r="R122" s="18">
        <v>30.0</v>
      </c>
      <c r="S122" s="19"/>
      <c r="T122" s="21" t="s">
        <v>122</v>
      </c>
      <c r="U122" s="21" t="s">
        <v>124</v>
      </c>
      <c r="V122" s="19"/>
      <c r="W122" s="19"/>
      <c r="X122" s="19"/>
      <c r="Y122" s="19"/>
      <c r="Z122" s="19"/>
      <c r="AA122" s="19"/>
      <c r="AB122" s="19"/>
      <c r="AC122" s="19"/>
      <c r="AD122" s="19"/>
      <c r="AE122" s="19"/>
      <c r="AF122" s="19"/>
      <c r="AG122" s="19"/>
      <c r="AH122" s="19"/>
      <c r="AI122" s="19"/>
      <c r="AJ122" s="19"/>
      <c r="AK122" s="19"/>
      <c r="AL122" s="19"/>
      <c r="AM122" s="19"/>
    </row>
    <row r="123">
      <c r="A123" s="23"/>
      <c r="B123" s="23"/>
      <c r="C123" s="23"/>
      <c r="D123" s="23"/>
      <c r="E123" s="23"/>
      <c r="F123" s="23"/>
      <c r="G123" s="23"/>
      <c r="H123" s="67" t="s">
        <v>645</v>
      </c>
      <c r="I123" s="15" t="str">
        <f t="shared" si="2"/>
        <v>https://youtube.com/embed/O51p2hacKno</v>
      </c>
      <c r="J123" s="32" t="s">
        <v>646</v>
      </c>
      <c r="K123" s="33" t="s">
        <v>185</v>
      </c>
      <c r="L123" s="34" t="s">
        <v>668</v>
      </c>
      <c r="M123" s="17" t="s">
        <v>263</v>
      </c>
      <c r="N123" s="17" t="s">
        <v>510</v>
      </c>
      <c r="O123" s="18"/>
      <c r="P123" s="18"/>
      <c r="Q123" s="18"/>
      <c r="R123" s="18"/>
      <c r="S123" s="19"/>
      <c r="T123" s="21"/>
      <c r="U123" s="21"/>
      <c r="V123" s="19"/>
      <c r="W123" s="19"/>
      <c r="X123" s="19"/>
      <c r="Y123" s="19"/>
      <c r="Z123" s="19"/>
      <c r="AA123" s="19"/>
      <c r="AB123" s="19"/>
      <c r="AC123" s="19"/>
      <c r="AD123" s="19"/>
      <c r="AE123" s="19"/>
      <c r="AF123" s="19"/>
      <c r="AG123" s="19"/>
      <c r="AH123" s="19"/>
      <c r="AI123" s="19"/>
      <c r="AJ123" s="19"/>
      <c r="AK123" s="19"/>
      <c r="AL123" s="19"/>
      <c r="AM123" s="19"/>
    </row>
    <row r="124">
      <c r="A124" s="23"/>
      <c r="B124" s="23"/>
      <c r="C124" s="23"/>
      <c r="D124" s="23"/>
      <c r="E124" s="23"/>
      <c r="F124" s="23"/>
      <c r="G124" s="23"/>
      <c r="H124" s="67" t="s">
        <v>648</v>
      </c>
      <c r="I124" s="15" t="str">
        <f t="shared" si="2"/>
        <v>https://youtube.com/embed/eTGJR9dFGYs</v>
      </c>
      <c r="J124" s="32" t="s">
        <v>649</v>
      </c>
      <c r="K124" s="33" t="s">
        <v>192</v>
      </c>
      <c r="L124" s="34" t="s">
        <v>669</v>
      </c>
      <c r="M124" s="17" t="s">
        <v>263</v>
      </c>
      <c r="N124" s="18"/>
      <c r="O124" s="18"/>
      <c r="P124" s="18"/>
      <c r="Q124" s="18"/>
      <c r="R124" s="18"/>
      <c r="S124" s="19"/>
      <c r="T124" s="21"/>
      <c r="U124" s="21"/>
      <c r="V124" s="19"/>
      <c r="W124" s="19"/>
      <c r="X124" s="19"/>
      <c r="Y124" s="19"/>
      <c r="Z124" s="19"/>
      <c r="AA124" s="19"/>
      <c r="AB124" s="19"/>
      <c r="AC124" s="19"/>
      <c r="AD124" s="19"/>
      <c r="AE124" s="19"/>
      <c r="AF124" s="19"/>
      <c r="AG124" s="19"/>
      <c r="AH124" s="19"/>
      <c r="AI124" s="19"/>
      <c r="AJ124" s="19"/>
      <c r="AK124" s="19"/>
      <c r="AL124" s="19"/>
      <c r="AM124" s="19"/>
    </row>
    <row r="125">
      <c r="A125" s="27"/>
      <c r="B125" s="27"/>
      <c r="C125" s="27"/>
      <c r="D125" s="27"/>
      <c r="E125" s="27"/>
      <c r="F125" s="27"/>
      <c r="G125" s="27"/>
      <c r="H125" s="67" t="s">
        <v>651</v>
      </c>
      <c r="I125" s="15" t="str">
        <f t="shared" si="2"/>
        <v>https://youtube.com/embed/q3mJ97iNiU0</v>
      </c>
      <c r="J125" s="32" t="s">
        <v>652</v>
      </c>
      <c r="K125" s="33" t="s">
        <v>212</v>
      </c>
      <c r="L125" s="34" t="s">
        <v>672</v>
      </c>
      <c r="M125" s="17" t="s">
        <v>263</v>
      </c>
      <c r="N125" s="18"/>
      <c r="O125" s="18"/>
      <c r="P125" s="18"/>
      <c r="Q125" s="18"/>
      <c r="R125" s="18"/>
      <c r="S125" s="19"/>
      <c r="T125" s="21"/>
      <c r="U125" s="21"/>
      <c r="V125" s="19"/>
      <c r="W125" s="19"/>
      <c r="X125" s="19"/>
      <c r="Y125" s="19"/>
      <c r="Z125" s="19"/>
      <c r="AA125" s="19"/>
      <c r="AB125" s="19"/>
      <c r="AC125" s="19"/>
      <c r="AD125" s="19"/>
      <c r="AE125" s="19"/>
      <c r="AF125" s="19"/>
      <c r="AG125" s="19"/>
      <c r="AH125" s="19"/>
      <c r="AI125" s="19"/>
      <c r="AJ125" s="19"/>
      <c r="AK125" s="19"/>
      <c r="AL125" s="19"/>
      <c r="AM125" s="19"/>
    </row>
    <row r="126">
      <c r="A126" s="28" t="s">
        <v>653</v>
      </c>
      <c r="B126" s="26" t="str">
        <f>TRIM(MID(A126, SEARCH("- ", A126) + 2, LEN(A126)))
</f>
        <v>ECOSISTEMA BIG DATA: HERRAMIENTAS Y TECNOLOGÍAS ESENCIALES</v>
      </c>
      <c r="C126" s="13" t="s">
        <v>77</v>
      </c>
      <c r="D126" s="13" t="s">
        <v>77</v>
      </c>
      <c r="E126" s="13" t="s">
        <v>77</v>
      </c>
      <c r="F126" s="13" t="s">
        <v>62</v>
      </c>
      <c r="G126" s="13" t="s">
        <v>77</v>
      </c>
      <c r="H126" s="67" t="s">
        <v>655</v>
      </c>
      <c r="I126" s="15" t="str">
        <f t="shared" si="2"/>
        <v>https://youtube.com/embed/j-4sVmTg4Bg</v>
      </c>
      <c r="J126" s="32" t="s">
        <v>656</v>
      </c>
      <c r="K126" s="33" t="s">
        <v>170</v>
      </c>
      <c r="L126" s="34" t="s">
        <v>675</v>
      </c>
      <c r="M126" s="17" t="s">
        <v>263</v>
      </c>
      <c r="N126" s="60" t="str">
        <f>"COMIENZA DICIENDO QUE ES EL RESUMEN DEL CURSO " &amp; B126 &amp; " DE EDUMIN, LUEGO HAZ EL RESUMEN Y FINALIZA INVITANDO A VER EL RESTO DE RECURSOS DE LAS ZONAS DE EDUMIN."</f>
        <v>COMIENZA DICIENDO QUE ES EL RESUMEN DEL CURSO ECOSISTEMA BIG DATA: HERRAMIENTAS Y TECNOLOGÍAS ESENCIALES DE EDUMIN, LUEGO HAZ EL RESUMEN Y FINALIZA INVITANDO A VER EL RESTO DE RECURSOS DE LAS ZONAS DE EDUMIN.</v>
      </c>
      <c r="O126" s="18" t="s">
        <v>658</v>
      </c>
      <c r="P126" s="18" t="s">
        <v>659</v>
      </c>
      <c r="Q126" s="18" t="s">
        <v>643</v>
      </c>
      <c r="R126" s="18">
        <v>30.0</v>
      </c>
      <c r="S126" s="19"/>
      <c r="T126" s="21" t="s">
        <v>122</v>
      </c>
      <c r="U126" s="21" t="s">
        <v>124</v>
      </c>
      <c r="V126" s="19"/>
      <c r="W126" s="19"/>
      <c r="X126" s="19"/>
      <c r="Y126" s="19"/>
      <c r="Z126" s="19"/>
      <c r="AA126" s="19"/>
      <c r="AB126" s="19"/>
      <c r="AC126" s="19"/>
      <c r="AD126" s="19"/>
      <c r="AE126" s="19"/>
      <c r="AF126" s="19"/>
      <c r="AG126" s="19"/>
      <c r="AH126" s="19"/>
      <c r="AI126" s="19"/>
      <c r="AJ126" s="19"/>
      <c r="AK126" s="19"/>
      <c r="AL126" s="19"/>
      <c r="AM126" s="19"/>
    </row>
    <row r="127">
      <c r="A127" s="23"/>
      <c r="B127" s="23"/>
      <c r="C127" s="23"/>
      <c r="D127" s="23"/>
      <c r="E127" s="23"/>
      <c r="F127" s="23"/>
      <c r="G127" s="23"/>
      <c r="H127" s="67" t="s">
        <v>660</v>
      </c>
      <c r="I127" s="15" t="str">
        <f t="shared" si="2"/>
        <v>https://youtube.com/embed/5TkpFvGchEM</v>
      </c>
      <c r="J127" s="32" t="s">
        <v>661</v>
      </c>
      <c r="K127" s="33" t="s">
        <v>185</v>
      </c>
      <c r="L127" s="34" t="s">
        <v>678</v>
      </c>
      <c r="M127" s="17" t="s">
        <v>263</v>
      </c>
      <c r="N127" s="17" t="s">
        <v>510</v>
      </c>
      <c r="O127" s="18"/>
      <c r="P127" s="18"/>
      <c r="Q127" s="18"/>
      <c r="R127" s="18"/>
      <c r="S127" s="19"/>
      <c r="T127" s="21"/>
      <c r="U127" s="21"/>
      <c r="V127" s="19"/>
      <c r="W127" s="19"/>
      <c r="X127" s="19"/>
      <c r="Y127" s="19"/>
      <c r="Z127" s="19"/>
      <c r="AA127" s="19"/>
      <c r="AB127" s="19"/>
      <c r="AC127" s="19"/>
      <c r="AD127" s="19"/>
      <c r="AE127" s="19"/>
      <c r="AF127" s="19"/>
      <c r="AG127" s="19"/>
      <c r="AH127" s="19"/>
      <c r="AI127" s="19"/>
      <c r="AJ127" s="19"/>
      <c r="AK127" s="19"/>
      <c r="AL127" s="19"/>
      <c r="AM127" s="19"/>
    </row>
    <row r="128">
      <c r="A128" s="23"/>
      <c r="B128" s="23"/>
      <c r="C128" s="23"/>
      <c r="D128" s="23"/>
      <c r="E128" s="23"/>
      <c r="F128" s="23"/>
      <c r="G128" s="23"/>
      <c r="H128" s="67" t="s">
        <v>662</v>
      </c>
      <c r="I128" s="15" t="str">
        <f t="shared" si="2"/>
        <v>https://youtube.com/embed/vthtLc8S5Lk</v>
      </c>
      <c r="J128" s="32" t="s">
        <v>663</v>
      </c>
      <c r="K128" s="33" t="s">
        <v>192</v>
      </c>
      <c r="L128" s="34" t="s">
        <v>681</v>
      </c>
      <c r="M128" s="17" t="s">
        <v>263</v>
      </c>
      <c r="N128" s="18"/>
      <c r="O128" s="18"/>
      <c r="P128" s="18"/>
      <c r="Q128" s="18"/>
      <c r="R128" s="18"/>
      <c r="S128" s="19"/>
      <c r="T128" s="21"/>
      <c r="U128" s="21"/>
      <c r="V128" s="19"/>
      <c r="W128" s="19"/>
      <c r="X128" s="19"/>
      <c r="Y128" s="19"/>
      <c r="Z128" s="19"/>
      <c r="AA128" s="19"/>
      <c r="AB128" s="19"/>
      <c r="AC128" s="19"/>
      <c r="AD128" s="19"/>
      <c r="AE128" s="19"/>
      <c r="AF128" s="19"/>
      <c r="AG128" s="19"/>
      <c r="AH128" s="19"/>
      <c r="AI128" s="19"/>
      <c r="AJ128" s="19"/>
      <c r="AK128" s="19"/>
      <c r="AL128" s="19"/>
      <c r="AM128" s="19"/>
    </row>
    <row r="129">
      <c r="A129" s="27"/>
      <c r="B129" s="27"/>
      <c r="C129" s="27"/>
      <c r="D129" s="27"/>
      <c r="E129" s="27"/>
      <c r="F129" s="27"/>
      <c r="G129" s="27"/>
      <c r="H129" s="67" t="s">
        <v>665</v>
      </c>
      <c r="I129" s="15" t="str">
        <f t="shared" si="2"/>
        <v>https://youtube.com/embed/ypqvFWMQgHU</v>
      </c>
      <c r="J129" s="32" t="s">
        <v>666</v>
      </c>
      <c r="K129" s="33" t="s">
        <v>212</v>
      </c>
      <c r="L129" s="34" t="s">
        <v>683</v>
      </c>
      <c r="M129" s="17" t="s">
        <v>263</v>
      </c>
      <c r="N129" s="18"/>
      <c r="O129" s="18"/>
      <c r="P129" s="18"/>
      <c r="Q129" s="18"/>
      <c r="R129" s="18"/>
      <c r="S129" s="19"/>
      <c r="T129" s="21"/>
      <c r="U129" s="21"/>
      <c r="V129" s="19"/>
      <c r="W129" s="19"/>
      <c r="X129" s="19"/>
      <c r="Y129" s="19"/>
      <c r="Z129" s="19"/>
      <c r="AA129" s="19"/>
      <c r="AB129" s="19"/>
      <c r="AC129" s="19"/>
      <c r="AD129" s="19"/>
      <c r="AE129" s="19"/>
      <c r="AF129" s="19"/>
      <c r="AG129" s="19"/>
      <c r="AH129" s="19"/>
      <c r="AI129" s="19"/>
      <c r="AJ129" s="19"/>
      <c r="AK129" s="19"/>
      <c r="AL129" s="19"/>
      <c r="AM129" s="19"/>
    </row>
    <row r="130">
      <c r="A130" s="28" t="s">
        <v>667</v>
      </c>
      <c r="B130" s="26" t="str">
        <f>TRIM(MID(A130, SEARCH("- ", A130) + 2, LEN(A130)))
</f>
        <v>INTRODUCCIÓN A MACHINE LEARNING PARA BIG DATA</v>
      </c>
      <c r="C130" s="13" t="s">
        <v>77</v>
      </c>
      <c r="D130" s="13" t="s">
        <v>77</v>
      </c>
      <c r="E130" s="13" t="s">
        <v>77</v>
      </c>
      <c r="F130" s="13" t="s">
        <v>65</v>
      </c>
      <c r="G130" s="13" t="s">
        <v>77</v>
      </c>
      <c r="H130" s="68" t="s">
        <v>670</v>
      </c>
      <c r="I130" s="15" t="str">
        <f t="shared" si="2"/>
        <v>https://youtube.com/embed/pRsYzX1HU68</v>
      </c>
      <c r="J130" s="15" t="s">
        <v>671</v>
      </c>
      <c r="K130" s="33" t="s">
        <v>170</v>
      </c>
      <c r="L130" s="34" t="s">
        <v>688</v>
      </c>
      <c r="M130" s="17" t="s">
        <v>263</v>
      </c>
      <c r="N130" s="60" t="str">
        <f>"COMIENZA DICIENDO QUE ES EL RESUMEN DEL CURSO " &amp; B130 &amp; " DE EDUMIN, LUEGO HAZ EL RESUMEN Y FINALIZA INVITANDO A VER EL RESTO DE RECURSOS DE LAS ZONAS DE EDUMIN."</f>
        <v>COMIENZA DICIENDO QUE ES EL RESUMEN DEL CURSO INTRODUCCIÓN A MACHINE LEARNING PARA BIG DATA DE EDUMIN, LUEGO HAZ EL RESUMEN Y FINALIZA INVITANDO A VER EL RESTO DE RECURSOS DE LAS ZONAS DE EDUMIN.</v>
      </c>
      <c r="O130" s="18" t="s">
        <v>642</v>
      </c>
      <c r="P130" s="18" t="s">
        <v>643</v>
      </c>
      <c r="Q130" s="18" t="s">
        <v>644</v>
      </c>
      <c r="R130" s="18">
        <v>30.0</v>
      </c>
      <c r="S130" s="19"/>
      <c r="T130" s="21" t="s">
        <v>122</v>
      </c>
      <c r="U130" s="21" t="s">
        <v>124</v>
      </c>
      <c r="V130" s="19"/>
      <c r="W130" s="19"/>
      <c r="X130" s="19"/>
      <c r="Y130" s="19"/>
      <c r="Z130" s="19"/>
      <c r="AA130" s="19"/>
      <c r="AB130" s="19"/>
      <c r="AC130" s="19"/>
      <c r="AD130" s="19"/>
      <c r="AE130" s="19"/>
      <c r="AF130" s="19"/>
      <c r="AG130" s="19"/>
      <c r="AH130" s="19"/>
      <c r="AI130" s="19"/>
      <c r="AJ130" s="19"/>
      <c r="AK130" s="19"/>
      <c r="AL130" s="19"/>
      <c r="AM130" s="19"/>
    </row>
    <row r="131">
      <c r="A131" s="23"/>
      <c r="B131" s="23"/>
      <c r="C131" s="23"/>
      <c r="D131" s="23"/>
      <c r="E131" s="23"/>
      <c r="F131" s="23"/>
      <c r="G131" s="23"/>
      <c r="H131" s="69" t="s">
        <v>673</v>
      </c>
      <c r="I131" s="15" t="str">
        <f t="shared" si="2"/>
        <v>https://youtube.com/embed/cvNbOE_UfuU</v>
      </c>
      <c r="J131" s="15" t="s">
        <v>674</v>
      </c>
      <c r="K131" s="33" t="s">
        <v>185</v>
      </c>
      <c r="L131" s="34" t="s">
        <v>693</v>
      </c>
      <c r="M131" s="17" t="s">
        <v>263</v>
      </c>
      <c r="N131" s="17" t="s">
        <v>510</v>
      </c>
      <c r="O131" s="18"/>
      <c r="P131" s="18"/>
      <c r="Q131" s="18"/>
      <c r="R131" s="18"/>
      <c r="S131" s="19"/>
      <c r="T131" s="21"/>
      <c r="U131" s="21"/>
      <c r="V131" s="19"/>
      <c r="W131" s="19"/>
      <c r="X131" s="19"/>
      <c r="Y131" s="19"/>
      <c r="Z131" s="19"/>
      <c r="AA131" s="19"/>
      <c r="AB131" s="19"/>
      <c r="AC131" s="19"/>
      <c r="AD131" s="19"/>
      <c r="AE131" s="19"/>
      <c r="AF131" s="19"/>
      <c r="AG131" s="19"/>
      <c r="AH131" s="19"/>
      <c r="AI131" s="19"/>
      <c r="AJ131" s="19"/>
      <c r="AK131" s="19"/>
      <c r="AL131" s="19"/>
      <c r="AM131" s="19"/>
    </row>
    <row r="132">
      <c r="A132" s="23"/>
      <c r="B132" s="23"/>
      <c r="C132" s="23"/>
      <c r="D132" s="23"/>
      <c r="E132" s="23"/>
      <c r="F132" s="23"/>
      <c r="G132" s="23"/>
      <c r="H132" s="69" t="s">
        <v>676</v>
      </c>
      <c r="I132" s="15" t="str">
        <f t="shared" si="2"/>
        <v>https://youtube.com/embed/m7zFyn-BtKs</v>
      </c>
      <c r="J132" s="15" t="s">
        <v>677</v>
      </c>
      <c r="K132" s="33" t="s">
        <v>192</v>
      </c>
      <c r="L132" s="34" t="s">
        <v>698</v>
      </c>
      <c r="M132" s="17" t="s">
        <v>263</v>
      </c>
      <c r="N132" s="18"/>
      <c r="O132" s="18"/>
      <c r="P132" s="18"/>
      <c r="Q132" s="18"/>
      <c r="R132" s="18"/>
      <c r="S132" s="19"/>
      <c r="T132" s="21"/>
      <c r="U132" s="21"/>
      <c r="V132" s="19"/>
      <c r="W132" s="19"/>
      <c r="X132" s="19"/>
      <c r="Y132" s="19"/>
      <c r="Z132" s="19"/>
      <c r="AA132" s="19"/>
      <c r="AB132" s="19"/>
      <c r="AC132" s="19"/>
      <c r="AD132" s="19"/>
      <c r="AE132" s="19"/>
      <c r="AF132" s="19"/>
      <c r="AG132" s="19"/>
      <c r="AH132" s="19"/>
      <c r="AI132" s="19"/>
      <c r="AJ132" s="19"/>
      <c r="AK132" s="19"/>
      <c r="AL132" s="19"/>
      <c r="AM132" s="19"/>
    </row>
    <row r="133">
      <c r="A133" s="27"/>
      <c r="B133" s="27"/>
      <c r="C133" s="27"/>
      <c r="D133" s="27"/>
      <c r="E133" s="27"/>
      <c r="F133" s="27"/>
      <c r="G133" s="27"/>
      <c r="H133" s="61" t="s">
        <v>679</v>
      </c>
      <c r="I133" s="15" t="str">
        <f t="shared" si="2"/>
        <v>https://youtube.com/embed/l1PKRWjuX98</v>
      </c>
      <c r="J133" s="15" t="s">
        <v>680</v>
      </c>
      <c r="K133" s="33" t="s">
        <v>212</v>
      </c>
      <c r="L133" s="34" t="s">
        <v>700</v>
      </c>
      <c r="M133" s="17" t="s">
        <v>263</v>
      </c>
      <c r="N133" s="18"/>
      <c r="O133" s="18"/>
      <c r="P133" s="18"/>
      <c r="Q133" s="18"/>
      <c r="R133" s="18"/>
      <c r="S133" s="19"/>
      <c r="T133" s="21"/>
      <c r="U133" s="21"/>
      <c r="V133" s="19"/>
      <c r="W133" s="19"/>
      <c r="X133" s="19"/>
      <c r="Y133" s="19"/>
      <c r="Z133" s="19"/>
      <c r="AA133" s="19"/>
      <c r="AB133" s="19"/>
      <c r="AC133" s="19"/>
      <c r="AD133" s="19"/>
      <c r="AE133" s="19"/>
      <c r="AF133" s="19"/>
      <c r="AG133" s="19"/>
      <c r="AH133" s="19"/>
      <c r="AI133" s="19"/>
      <c r="AJ133" s="19"/>
      <c r="AK133" s="19"/>
      <c r="AL133" s="19"/>
      <c r="AM133" s="19"/>
    </row>
    <row r="134">
      <c r="A134" s="28" t="s">
        <v>682</v>
      </c>
      <c r="B134" s="26" t="str">
        <f>TRIM(MID(A134, SEARCH("- ", A134) + 2, LEN(A134)))
</f>
        <v>PROYECTOS CON HERRAMIENTAS DIGITALES PARA MINERÍA</v>
      </c>
      <c r="C134" s="13" t="s">
        <v>77</v>
      </c>
      <c r="D134" s="13" t="s">
        <v>77</v>
      </c>
      <c r="E134" s="13" t="s">
        <v>77</v>
      </c>
      <c r="F134" s="70" t="s">
        <v>57</v>
      </c>
      <c r="G134" s="13" t="s">
        <v>77</v>
      </c>
      <c r="H134" s="34" t="s">
        <v>684</v>
      </c>
      <c r="I134" s="15" t="str">
        <f t="shared" si="2"/>
        <v>https://youtube.com/embed/SlSMOt9WP5s</v>
      </c>
      <c r="J134" s="15" t="s">
        <v>685</v>
      </c>
      <c r="K134" s="33" t="s">
        <v>170</v>
      </c>
      <c r="L134" s="34" t="s">
        <v>705</v>
      </c>
      <c r="M134" s="17" t="s">
        <v>263</v>
      </c>
      <c r="N134" s="60" t="str">
        <f>"COMIENZA DICIENDO QUE ES EL RESUMEN DEL CURSO " &amp; B134 &amp; " DE EDUMIN, LUEGO HAZ EL RESUMEN Y FINALIZA INVITANDO A VER EL RESTO DE RECURSOS DE LAS ZONAS DE EDUMIN."</f>
        <v>COMIENZA DICIENDO QUE ES EL RESUMEN DEL CURSO PROYECTOS CON HERRAMIENTAS DIGITALES PARA MINERÍA DE EDUMIN, LUEGO HAZ EL RESUMEN Y FINALIZA INVITANDO A VER EL RESTO DE RECURSOS DE LAS ZONAS DE EDUMIN.</v>
      </c>
      <c r="O134" s="18" t="s">
        <v>642</v>
      </c>
      <c r="P134" s="18" t="s">
        <v>643</v>
      </c>
      <c r="Q134" s="18" t="s">
        <v>644</v>
      </c>
      <c r="R134" s="18">
        <v>30.0</v>
      </c>
      <c r="S134" s="19"/>
      <c r="T134" s="21" t="s">
        <v>122</v>
      </c>
      <c r="U134" s="21" t="s">
        <v>124</v>
      </c>
      <c r="V134" s="19"/>
      <c r="W134" s="19"/>
      <c r="X134" s="19"/>
      <c r="Y134" s="19"/>
      <c r="Z134" s="19"/>
      <c r="AA134" s="19"/>
      <c r="AB134" s="19"/>
      <c r="AC134" s="19"/>
      <c r="AD134" s="19"/>
      <c r="AE134" s="19"/>
      <c r="AF134" s="19"/>
      <c r="AG134" s="19"/>
      <c r="AH134" s="19"/>
      <c r="AI134" s="19"/>
      <c r="AJ134" s="19"/>
      <c r="AK134" s="19"/>
      <c r="AL134" s="19"/>
      <c r="AM134" s="19"/>
    </row>
    <row r="135">
      <c r="A135" s="23"/>
      <c r="B135" s="23"/>
      <c r="C135" s="23"/>
      <c r="D135" s="23"/>
      <c r="E135" s="23"/>
      <c r="F135" s="23"/>
      <c r="G135" s="23"/>
      <c r="H135" s="34" t="s">
        <v>686</v>
      </c>
      <c r="I135" s="15" t="str">
        <f t="shared" si="2"/>
        <v>https://youtube.com/embed/LFiqv1kn2rA</v>
      </c>
      <c r="J135" s="15" t="s">
        <v>687</v>
      </c>
      <c r="K135" s="33" t="s">
        <v>185</v>
      </c>
      <c r="L135" s="34" t="s">
        <v>708</v>
      </c>
      <c r="M135" s="17" t="s">
        <v>263</v>
      </c>
      <c r="N135" s="17" t="s">
        <v>510</v>
      </c>
      <c r="O135" s="18"/>
      <c r="P135" s="18"/>
      <c r="Q135" s="18"/>
      <c r="R135" s="18"/>
      <c r="S135" s="19"/>
      <c r="T135" s="21"/>
      <c r="U135" s="21"/>
      <c r="V135" s="19"/>
      <c r="W135" s="19"/>
      <c r="X135" s="19"/>
      <c r="Y135" s="19"/>
      <c r="Z135" s="19"/>
      <c r="AA135" s="19"/>
      <c r="AB135" s="19"/>
      <c r="AC135" s="19"/>
      <c r="AD135" s="19"/>
      <c r="AE135" s="19"/>
      <c r="AF135" s="19"/>
      <c r="AG135" s="19"/>
      <c r="AH135" s="19"/>
      <c r="AI135" s="19"/>
      <c r="AJ135" s="19"/>
      <c r="AK135" s="19"/>
      <c r="AL135" s="19"/>
      <c r="AM135" s="19"/>
    </row>
    <row r="136">
      <c r="A136" s="23"/>
      <c r="B136" s="23"/>
      <c r="C136" s="23"/>
      <c r="D136" s="23"/>
      <c r="E136" s="23"/>
      <c r="F136" s="23"/>
      <c r="G136" s="23"/>
      <c r="H136" s="34" t="s">
        <v>689</v>
      </c>
      <c r="I136" s="15" t="str">
        <f t="shared" si="2"/>
        <v>https://youtube.com/embed/gUL83cHJnCM</v>
      </c>
      <c r="J136" s="15" t="s">
        <v>690</v>
      </c>
      <c r="K136" s="33" t="s">
        <v>192</v>
      </c>
      <c r="L136" s="34" t="s">
        <v>711</v>
      </c>
      <c r="M136" s="17" t="s">
        <v>263</v>
      </c>
      <c r="N136" s="18"/>
      <c r="O136" s="18"/>
      <c r="P136" s="18"/>
      <c r="Q136" s="18"/>
      <c r="R136" s="18"/>
      <c r="S136" s="19"/>
      <c r="T136" s="21"/>
      <c r="U136" s="21"/>
      <c r="V136" s="19"/>
      <c r="W136" s="19"/>
      <c r="X136" s="19"/>
      <c r="Y136" s="19"/>
      <c r="Z136" s="19"/>
      <c r="AA136" s="19"/>
      <c r="AB136" s="19"/>
      <c r="AC136" s="19"/>
      <c r="AD136" s="19"/>
      <c r="AE136" s="19"/>
      <c r="AF136" s="19"/>
      <c r="AG136" s="19"/>
      <c r="AH136" s="19"/>
      <c r="AI136" s="19"/>
      <c r="AJ136" s="19"/>
      <c r="AK136" s="19"/>
      <c r="AL136" s="19"/>
      <c r="AM136" s="19"/>
    </row>
    <row r="137">
      <c r="A137" s="27"/>
      <c r="B137" s="27"/>
      <c r="C137" s="27"/>
      <c r="D137" s="27"/>
      <c r="E137" s="27"/>
      <c r="F137" s="27"/>
      <c r="G137" s="27"/>
      <c r="H137" s="34" t="s">
        <v>691</v>
      </c>
      <c r="I137" s="15" t="str">
        <f t="shared" si="2"/>
        <v>https://youtube.com/embed/ColOytJoFSM</v>
      </c>
      <c r="J137" s="32" t="s">
        <v>692</v>
      </c>
      <c r="K137" s="33" t="s">
        <v>212</v>
      </c>
      <c r="L137" s="34" t="s">
        <v>713</v>
      </c>
      <c r="M137" s="17" t="s">
        <v>263</v>
      </c>
      <c r="N137" s="18"/>
      <c r="O137" s="18"/>
      <c r="P137" s="18"/>
      <c r="Q137" s="18"/>
      <c r="R137" s="18"/>
      <c r="S137" s="19"/>
      <c r="T137" s="21"/>
      <c r="U137" s="21"/>
      <c r="V137" s="19"/>
      <c r="W137" s="19"/>
      <c r="X137" s="19"/>
      <c r="Y137" s="19"/>
      <c r="Z137" s="19"/>
      <c r="AA137" s="19"/>
      <c r="AB137" s="19"/>
      <c r="AC137" s="19"/>
      <c r="AD137" s="19"/>
      <c r="AE137" s="19"/>
      <c r="AF137" s="19"/>
      <c r="AG137" s="19"/>
      <c r="AH137" s="19"/>
      <c r="AI137" s="19"/>
      <c r="AJ137" s="19"/>
      <c r="AK137" s="19"/>
      <c r="AL137" s="19"/>
      <c r="AM137" s="19"/>
    </row>
    <row r="138">
      <c r="A138" s="50" t="s">
        <v>694</v>
      </c>
      <c r="B138" s="26" t="str">
        <f>TRIM(MID(A138, SEARCH("- ", A138) + 2, LEN(A138)))
</f>
        <v>INTRODUCCIÓN A MACHINE LEARNING EN MINERÍA</v>
      </c>
      <c r="C138" s="13" t="s">
        <v>695</v>
      </c>
      <c r="D138" s="13"/>
      <c r="E138" s="13"/>
      <c r="F138" s="13"/>
      <c r="G138" s="13" t="s">
        <v>77</v>
      </c>
      <c r="H138" s="34" t="s">
        <v>696</v>
      </c>
      <c r="I138" s="15" t="str">
        <f t="shared" si="2"/>
        <v>https://www.youtube.com/watch</v>
      </c>
      <c r="J138" s="63"/>
      <c r="K138" s="18"/>
      <c r="L138" s="18"/>
      <c r="M138" s="18"/>
      <c r="N138" s="18"/>
      <c r="O138" s="18" t="s">
        <v>642</v>
      </c>
      <c r="P138" s="18" t="s">
        <v>643</v>
      </c>
      <c r="Q138" s="18" t="s">
        <v>644</v>
      </c>
      <c r="R138" s="18">
        <v>30.0</v>
      </c>
      <c r="S138" s="19"/>
      <c r="T138" s="21" t="s">
        <v>122</v>
      </c>
      <c r="U138" s="21" t="s">
        <v>124</v>
      </c>
      <c r="V138" s="19"/>
      <c r="W138" s="19"/>
      <c r="X138" s="19"/>
      <c r="Y138" s="19"/>
      <c r="Z138" s="19"/>
      <c r="AA138" s="19"/>
      <c r="AB138" s="19"/>
      <c r="AC138" s="19"/>
      <c r="AD138" s="19"/>
      <c r="AE138" s="19"/>
      <c r="AF138" s="19"/>
      <c r="AG138" s="19"/>
      <c r="AH138" s="19"/>
      <c r="AI138" s="19"/>
      <c r="AJ138" s="19"/>
      <c r="AK138" s="19"/>
      <c r="AL138" s="19"/>
      <c r="AM138" s="19"/>
    </row>
    <row r="139">
      <c r="A139" s="23"/>
      <c r="B139" s="23"/>
      <c r="C139" s="23"/>
      <c r="D139" s="23"/>
      <c r="E139" s="23"/>
      <c r="F139" s="23"/>
      <c r="G139" s="23"/>
      <c r="H139" s="34" t="s">
        <v>697</v>
      </c>
      <c r="I139" s="15" t="str">
        <f t="shared" si="2"/>
        <v>https://youtube.com/embed/E-csFjxgpCU</v>
      </c>
      <c r="J139" s="15" t="s">
        <v>699</v>
      </c>
      <c r="K139" s="18"/>
      <c r="L139" s="18"/>
      <c r="M139" s="18"/>
      <c r="N139" s="18"/>
      <c r="O139" s="18"/>
      <c r="P139" s="18"/>
      <c r="Q139" s="18"/>
      <c r="R139" s="18"/>
      <c r="S139" s="19"/>
      <c r="T139" s="21"/>
      <c r="U139" s="21"/>
      <c r="V139" s="19"/>
      <c r="W139" s="19"/>
      <c r="X139" s="19"/>
      <c r="Y139" s="19"/>
      <c r="Z139" s="19"/>
      <c r="AA139" s="19"/>
      <c r="AB139" s="19"/>
      <c r="AC139" s="19"/>
      <c r="AD139" s="19"/>
      <c r="AE139" s="19"/>
      <c r="AF139" s="19"/>
      <c r="AG139" s="19"/>
      <c r="AH139" s="19"/>
      <c r="AI139" s="19"/>
      <c r="AJ139" s="19"/>
      <c r="AK139" s="19"/>
      <c r="AL139" s="19"/>
      <c r="AM139" s="19"/>
    </row>
    <row r="140">
      <c r="A140" s="23"/>
      <c r="B140" s="23"/>
      <c r="C140" s="23"/>
      <c r="D140" s="23"/>
      <c r="E140" s="23"/>
      <c r="F140" s="23"/>
      <c r="G140" s="23"/>
      <c r="H140" s="69" t="s">
        <v>676</v>
      </c>
      <c r="I140" s="15" t="str">
        <f t="shared" si="2"/>
        <v>https://youtube.com/embed/m7zFyn-BtKs</v>
      </c>
      <c r="J140" s="15" t="s">
        <v>677</v>
      </c>
      <c r="K140" s="18"/>
      <c r="L140" s="18"/>
      <c r="M140" s="18"/>
      <c r="N140" s="18"/>
      <c r="O140" s="18"/>
      <c r="P140" s="18"/>
      <c r="Q140" s="18"/>
      <c r="R140" s="18"/>
      <c r="S140" s="19"/>
      <c r="T140" s="21"/>
      <c r="U140" s="21"/>
      <c r="V140" s="19"/>
      <c r="W140" s="19"/>
      <c r="X140" s="19"/>
      <c r="Y140" s="19"/>
      <c r="Z140" s="19"/>
      <c r="AA140" s="19"/>
      <c r="AB140" s="19"/>
      <c r="AC140" s="19"/>
      <c r="AD140" s="19"/>
      <c r="AE140" s="19"/>
      <c r="AF140" s="19"/>
      <c r="AG140" s="19"/>
      <c r="AH140" s="19"/>
      <c r="AI140" s="19"/>
      <c r="AJ140" s="19"/>
      <c r="AK140" s="19"/>
      <c r="AL140" s="19"/>
      <c r="AM140" s="19"/>
    </row>
    <row r="141">
      <c r="A141" s="27"/>
      <c r="B141" s="27"/>
      <c r="C141" s="27"/>
      <c r="D141" s="27"/>
      <c r="E141" s="27"/>
      <c r="F141" s="27"/>
      <c r="G141" s="27"/>
      <c r="H141" s="34" t="s">
        <v>701</v>
      </c>
      <c r="I141" s="15" t="str">
        <f t="shared" si="2"/>
        <v>https://youtube.com/embed/l1PKRWjuX98</v>
      </c>
      <c r="J141" s="15" t="s">
        <v>680</v>
      </c>
      <c r="K141" s="18"/>
      <c r="L141" s="18"/>
      <c r="M141" s="18"/>
      <c r="N141" s="18"/>
      <c r="O141" s="18"/>
      <c r="P141" s="18"/>
      <c r="Q141" s="18"/>
      <c r="R141" s="18"/>
      <c r="S141" s="19"/>
      <c r="T141" s="21"/>
      <c r="U141" s="21"/>
      <c r="V141" s="19"/>
      <c r="W141" s="19"/>
      <c r="X141" s="19"/>
      <c r="Y141" s="19"/>
      <c r="Z141" s="19"/>
      <c r="AA141" s="19"/>
      <c r="AB141" s="19"/>
      <c r="AC141" s="19"/>
      <c r="AD141" s="19"/>
      <c r="AE141" s="19"/>
      <c r="AF141" s="19"/>
      <c r="AG141" s="19"/>
      <c r="AH141" s="19"/>
      <c r="AI141" s="19"/>
      <c r="AJ141" s="19"/>
      <c r="AK141" s="19"/>
      <c r="AL141" s="19"/>
      <c r="AM141" s="19"/>
    </row>
    <row r="142">
      <c r="A142" s="73" t="s">
        <v>702</v>
      </c>
      <c r="B142" s="26" t="str">
        <f>TRIM(MID(A142, SEARCH("- ", A142) + 2, LEN(A142)))
</f>
        <v>TIPOS DE INTELIGENCIA ARTIFICIAL APLICADAS A LA MINERÍA</v>
      </c>
      <c r="C142" s="13" t="s">
        <v>77</v>
      </c>
      <c r="D142" s="13" t="s">
        <v>77</v>
      </c>
      <c r="E142" s="13" t="s">
        <v>77</v>
      </c>
      <c r="F142" s="70" t="s">
        <v>57</v>
      </c>
      <c r="G142" s="13" t="s">
        <v>77</v>
      </c>
      <c r="H142" s="34" t="s">
        <v>703</v>
      </c>
      <c r="I142" s="15" t="str">
        <f t="shared" si="2"/>
        <v>https://youtube.com/embed/UB05S62ivEA</v>
      </c>
      <c r="J142" s="15" t="s">
        <v>704</v>
      </c>
      <c r="K142" s="33" t="s">
        <v>170</v>
      </c>
      <c r="L142" s="34" t="s">
        <v>720</v>
      </c>
      <c r="M142" s="17" t="s">
        <v>263</v>
      </c>
      <c r="N142" s="60" t="str">
        <f>"COMIENZA DICIENDO QUE ES EL RESUMEN DEL CURSO " &amp; B142 &amp; " DE EDUMIN, LUEGO HAZ EL RESUMEN Y FINALIZA INVITANDO A VER EL RESTO DE RECURSOS DE LAS ZONAS DE EDUMIN."</f>
        <v>COMIENZA DICIENDO QUE ES EL RESUMEN DEL CURSO TIPOS DE INTELIGENCIA ARTIFICIAL APLICADAS A LA MINERÍA DE EDUMIN, LUEGO HAZ EL RESUMEN Y FINALIZA INVITANDO A VER EL RESTO DE RECURSOS DE LAS ZONAS DE EDUMIN.</v>
      </c>
      <c r="O142" s="18" t="s">
        <v>658</v>
      </c>
      <c r="P142" s="18" t="s">
        <v>659</v>
      </c>
      <c r="Q142" s="18" t="s">
        <v>643</v>
      </c>
      <c r="R142" s="18">
        <v>30.0</v>
      </c>
      <c r="S142" s="19"/>
      <c r="T142" s="21" t="s">
        <v>122</v>
      </c>
      <c r="U142" s="21" t="s">
        <v>124</v>
      </c>
      <c r="V142" s="19"/>
      <c r="W142" s="19"/>
      <c r="X142" s="19"/>
      <c r="Y142" s="19"/>
      <c r="Z142" s="19"/>
      <c r="AA142" s="19"/>
      <c r="AB142" s="19"/>
      <c r="AC142" s="19"/>
      <c r="AD142" s="19"/>
      <c r="AE142" s="19"/>
      <c r="AF142" s="19"/>
      <c r="AG142" s="19"/>
      <c r="AH142" s="19"/>
      <c r="AI142" s="19"/>
      <c r="AJ142" s="19"/>
      <c r="AK142" s="19"/>
      <c r="AL142" s="19"/>
      <c r="AM142" s="19"/>
    </row>
    <row r="143">
      <c r="A143" s="23"/>
      <c r="B143" s="23"/>
      <c r="C143" s="23"/>
      <c r="D143" s="23"/>
      <c r="E143" s="23"/>
      <c r="F143" s="23"/>
      <c r="G143" s="23"/>
      <c r="H143" s="34" t="s">
        <v>706</v>
      </c>
      <c r="I143" s="15" t="str">
        <f t="shared" si="2"/>
        <v>https://youtube.com/embed/qYuBFG0ohv4</v>
      </c>
      <c r="J143" s="15" t="s">
        <v>707</v>
      </c>
      <c r="K143" s="33" t="s">
        <v>185</v>
      </c>
      <c r="L143" s="34" t="s">
        <v>723</v>
      </c>
      <c r="M143" s="17" t="s">
        <v>263</v>
      </c>
      <c r="N143" s="17" t="s">
        <v>510</v>
      </c>
      <c r="O143" s="18"/>
      <c r="P143" s="18"/>
      <c r="Q143" s="18"/>
      <c r="R143" s="18"/>
      <c r="S143" s="19"/>
      <c r="T143" s="21"/>
      <c r="U143" s="21"/>
      <c r="V143" s="19"/>
      <c r="W143" s="19"/>
      <c r="X143" s="19"/>
      <c r="Y143" s="19"/>
      <c r="Z143" s="19"/>
      <c r="AA143" s="19"/>
      <c r="AB143" s="19"/>
      <c r="AC143" s="19"/>
      <c r="AD143" s="19"/>
      <c r="AE143" s="19"/>
      <c r="AF143" s="19"/>
      <c r="AG143" s="19"/>
      <c r="AH143" s="19"/>
      <c r="AI143" s="19"/>
      <c r="AJ143" s="19"/>
      <c r="AK143" s="19"/>
      <c r="AL143" s="19"/>
      <c r="AM143" s="19"/>
    </row>
    <row r="144">
      <c r="A144" s="23"/>
      <c r="B144" s="23"/>
      <c r="C144" s="23"/>
      <c r="D144" s="23"/>
      <c r="E144" s="23"/>
      <c r="F144" s="23"/>
      <c r="G144" s="23"/>
      <c r="H144" s="34" t="s">
        <v>709</v>
      </c>
      <c r="I144" s="15" t="str">
        <f t="shared" si="2"/>
        <v>https://youtube.com/embed/wFfzwVJzat8</v>
      </c>
      <c r="J144" s="15" t="s">
        <v>710</v>
      </c>
      <c r="K144" s="33" t="s">
        <v>192</v>
      </c>
      <c r="L144" s="34" t="s">
        <v>593</v>
      </c>
      <c r="M144" s="17" t="s">
        <v>263</v>
      </c>
      <c r="N144" s="18"/>
      <c r="O144" s="18"/>
      <c r="P144" s="18"/>
      <c r="Q144" s="18"/>
      <c r="R144" s="18"/>
      <c r="S144" s="19"/>
      <c r="T144" s="21"/>
      <c r="U144" s="21"/>
      <c r="V144" s="19"/>
      <c r="W144" s="19"/>
      <c r="X144" s="19"/>
      <c r="Y144" s="19"/>
      <c r="Z144" s="19"/>
      <c r="AA144" s="19"/>
      <c r="AB144" s="19"/>
      <c r="AC144" s="19"/>
      <c r="AD144" s="19"/>
      <c r="AE144" s="19"/>
      <c r="AF144" s="19"/>
      <c r="AG144" s="19"/>
      <c r="AH144" s="19"/>
      <c r="AI144" s="19"/>
      <c r="AJ144" s="19"/>
      <c r="AK144" s="19"/>
      <c r="AL144" s="19"/>
      <c r="AM144" s="19"/>
    </row>
    <row r="145">
      <c r="A145" s="27"/>
      <c r="B145" s="27"/>
      <c r="C145" s="27"/>
      <c r="D145" s="27"/>
      <c r="E145" s="27"/>
      <c r="F145" s="27"/>
      <c r="G145" s="27"/>
      <c r="H145" s="34"/>
      <c r="I145" s="63"/>
      <c r="J145" s="63"/>
      <c r="K145" s="37"/>
      <c r="L145" s="16"/>
      <c r="M145" s="18"/>
      <c r="N145" s="18"/>
      <c r="O145" s="18"/>
      <c r="P145" s="18"/>
      <c r="Q145" s="18"/>
      <c r="R145" s="18"/>
      <c r="S145" s="19"/>
      <c r="T145" s="21"/>
      <c r="U145" s="21"/>
      <c r="V145" s="19"/>
      <c r="W145" s="19"/>
      <c r="X145" s="19"/>
      <c r="Y145" s="19"/>
      <c r="Z145" s="19"/>
      <c r="AA145" s="19"/>
      <c r="AB145" s="19"/>
      <c r="AC145" s="19"/>
      <c r="AD145" s="19"/>
      <c r="AE145" s="19"/>
      <c r="AF145" s="19"/>
      <c r="AG145" s="19"/>
      <c r="AH145" s="19"/>
      <c r="AI145" s="19"/>
      <c r="AJ145" s="19"/>
      <c r="AK145" s="19"/>
      <c r="AL145" s="19"/>
      <c r="AM145" s="19"/>
    </row>
    <row r="146">
      <c r="A146" s="26" t="s">
        <v>712</v>
      </c>
      <c r="B146" s="26" t="str">
        <f>TRIM(MID(A146, SEARCH("- ", A146) + 2, LEN(A146)))
</f>
        <v>HERRAMIENTAS DE BIG DATA APLICADA A MINERÍA</v>
      </c>
      <c r="C146" s="13" t="s">
        <v>77</v>
      </c>
      <c r="D146" s="13" t="s">
        <v>77</v>
      </c>
      <c r="E146" s="13" t="s">
        <v>77</v>
      </c>
      <c r="F146" s="13" t="s">
        <v>65</v>
      </c>
      <c r="G146" s="13" t="s">
        <v>77</v>
      </c>
      <c r="H146" s="61" t="s">
        <v>714</v>
      </c>
      <c r="I146" s="15" t="str">
        <f t="shared" ref="I146:I147" si="3">SUBSTITUTE(LEFT(MID(H146,FIND("https",H146),99),FIND("?",H146)-FIND("https",H146)), "/live/", "/embed/")</f>
        <v>https://youtube.com/embed/Guf9n2TbwXI</v>
      </c>
      <c r="J146" s="15" t="s">
        <v>715</v>
      </c>
      <c r="K146" s="33" t="s">
        <v>170</v>
      </c>
      <c r="L146" s="34" t="s">
        <v>731</v>
      </c>
      <c r="M146" s="17" t="s">
        <v>263</v>
      </c>
      <c r="N146" s="60" t="str">
        <f>"COMIENZA DICIENDO QUE ES EL RESUMEN DEL CURSO " &amp; B146 &amp; " DE EDUMIN, LUEGO HAZ EL RESUMEN Y FINALIZA INVITANDO A VER EL RESTO DE RECURSOS DE LAS ZONAS DE EDUMIN."</f>
        <v>COMIENZA DICIENDO QUE ES EL RESUMEN DEL CURSO HERRAMIENTAS DE BIG DATA APLICADA A MINERÍA DE EDUMIN, LUEGO HAZ EL RESUMEN Y FINALIZA INVITANDO A VER EL RESTO DE RECURSOS DE LAS ZONAS DE EDUMIN.</v>
      </c>
      <c r="O146" s="18" t="s">
        <v>642</v>
      </c>
      <c r="P146" s="18" t="s">
        <v>643</v>
      </c>
      <c r="Q146" s="18" t="s">
        <v>644</v>
      </c>
      <c r="R146" s="18">
        <v>30.0</v>
      </c>
      <c r="S146" s="19"/>
      <c r="T146" s="21" t="s">
        <v>122</v>
      </c>
      <c r="U146" s="21" t="s">
        <v>124</v>
      </c>
      <c r="V146" s="19"/>
      <c r="W146" s="19"/>
      <c r="X146" s="19"/>
      <c r="Y146" s="19"/>
      <c r="Z146" s="19"/>
      <c r="AA146" s="19"/>
      <c r="AB146" s="19"/>
      <c r="AC146" s="19"/>
      <c r="AD146" s="19"/>
      <c r="AE146" s="19"/>
      <c r="AF146" s="19"/>
      <c r="AG146" s="19"/>
      <c r="AH146" s="19"/>
      <c r="AI146" s="19"/>
      <c r="AJ146" s="19"/>
      <c r="AK146" s="19"/>
      <c r="AL146" s="19"/>
      <c r="AM146" s="19"/>
    </row>
    <row r="147">
      <c r="A147" s="23"/>
      <c r="B147" s="23"/>
      <c r="C147" s="23"/>
      <c r="D147" s="23"/>
      <c r="E147" s="23"/>
      <c r="F147" s="23"/>
      <c r="G147" s="23"/>
      <c r="H147" s="61" t="s">
        <v>716</v>
      </c>
      <c r="I147" s="15" t="str">
        <f t="shared" si="3"/>
        <v>https://youtube.com/embed/dhyD_UoqH1U</v>
      </c>
      <c r="J147" s="15" t="s">
        <v>717</v>
      </c>
      <c r="K147" s="33" t="s">
        <v>185</v>
      </c>
      <c r="L147" s="34" t="s">
        <v>735</v>
      </c>
      <c r="M147" s="17" t="s">
        <v>263</v>
      </c>
      <c r="N147" s="17" t="s">
        <v>510</v>
      </c>
      <c r="O147" s="18"/>
      <c r="P147" s="18"/>
      <c r="Q147" s="18"/>
      <c r="R147" s="18"/>
      <c r="S147" s="19"/>
      <c r="T147" s="21"/>
      <c r="U147" s="21"/>
      <c r="V147" s="19"/>
      <c r="W147" s="19"/>
      <c r="X147" s="19"/>
      <c r="Y147" s="19"/>
      <c r="Z147" s="19"/>
      <c r="AA147" s="19"/>
      <c r="AB147" s="19"/>
      <c r="AC147" s="19"/>
      <c r="AD147" s="19"/>
      <c r="AE147" s="19"/>
      <c r="AF147" s="19"/>
      <c r="AG147" s="19"/>
      <c r="AH147" s="19"/>
      <c r="AI147" s="19"/>
      <c r="AJ147" s="19"/>
      <c r="AK147" s="19"/>
      <c r="AL147" s="19"/>
      <c r="AM147" s="19"/>
    </row>
    <row r="148">
      <c r="A148" s="23"/>
      <c r="B148" s="23"/>
      <c r="C148" s="23"/>
      <c r="D148" s="23"/>
      <c r="E148" s="23"/>
      <c r="F148" s="23"/>
      <c r="G148" s="23"/>
      <c r="H148" s="16"/>
      <c r="I148" s="63"/>
      <c r="J148" s="63"/>
      <c r="K148" s="17"/>
      <c r="M148" s="18"/>
      <c r="N148" s="18"/>
      <c r="O148" s="18"/>
      <c r="P148" s="18"/>
      <c r="Q148" s="18"/>
      <c r="R148" s="18"/>
      <c r="S148" s="19"/>
      <c r="T148" s="21"/>
      <c r="U148" s="21"/>
      <c r="V148" s="19"/>
      <c r="W148" s="19"/>
      <c r="X148" s="19"/>
      <c r="Y148" s="19"/>
      <c r="Z148" s="19"/>
      <c r="AA148" s="19"/>
      <c r="AB148" s="19"/>
      <c r="AC148" s="19"/>
      <c r="AD148" s="19"/>
      <c r="AE148" s="19"/>
      <c r="AF148" s="19"/>
      <c r="AG148" s="19"/>
      <c r="AH148" s="19"/>
      <c r="AI148" s="19"/>
      <c r="AJ148" s="19"/>
      <c r="AK148" s="19"/>
      <c r="AL148" s="19"/>
      <c r="AM148" s="19"/>
    </row>
    <row r="149">
      <c r="A149" s="27"/>
      <c r="B149" s="27"/>
      <c r="C149" s="27"/>
      <c r="D149" s="27"/>
      <c r="E149" s="27"/>
      <c r="F149" s="27"/>
      <c r="G149" s="27"/>
      <c r="H149" s="16"/>
      <c r="I149" s="63"/>
      <c r="J149" s="63"/>
      <c r="K149" s="17"/>
      <c r="M149" s="18"/>
      <c r="N149" s="18"/>
      <c r="O149" s="18"/>
      <c r="P149" s="18"/>
      <c r="Q149" s="18"/>
      <c r="R149" s="18"/>
      <c r="S149" s="19"/>
      <c r="T149" s="21"/>
      <c r="U149" s="21"/>
      <c r="V149" s="19"/>
      <c r="W149" s="19"/>
      <c r="X149" s="19"/>
      <c r="Y149" s="19"/>
      <c r="Z149" s="19"/>
      <c r="AA149" s="19"/>
      <c r="AB149" s="19"/>
      <c r="AC149" s="19"/>
      <c r="AD149" s="19"/>
      <c r="AE149" s="19"/>
      <c r="AF149" s="19"/>
      <c r="AG149" s="19"/>
      <c r="AH149" s="19"/>
      <c r="AI149" s="19"/>
      <c r="AJ149" s="19"/>
      <c r="AK149" s="19"/>
      <c r="AL149" s="19"/>
      <c r="AM149" s="19"/>
    </row>
    <row r="150">
      <c r="A150" s="26" t="s">
        <v>718</v>
      </c>
      <c r="B150" s="26" t="str">
        <f>TRIM(MID(A150, SEARCH("- ", A150) + 2, LEN(A150)))
</f>
        <v>GESTIÓN AVANZADA DE OPERACIONES INDUSTRIALES</v>
      </c>
      <c r="C150" s="13" t="s">
        <v>77</v>
      </c>
      <c r="D150" s="13" t="s">
        <v>77</v>
      </c>
      <c r="E150" s="13" t="s">
        <v>77</v>
      </c>
      <c r="F150" s="13" t="s">
        <v>62</v>
      </c>
      <c r="G150" s="13" t="s">
        <v>77</v>
      </c>
      <c r="H150" s="57" t="s">
        <v>740</v>
      </c>
      <c r="I150" s="15" t="str">
        <f t="shared" ref="I150:I200" si="4">SUBSTITUTE(LEFT(MID(H150,FIND("https",H150),99),FIND("?",H150)-FIND("https",H150)), "/live/", "/embed/")</f>
        <v>https://youtube.com/embed/Tf_8cAbgV_Q</v>
      </c>
      <c r="J150" s="15" t="s">
        <v>721</v>
      </c>
      <c r="K150" s="33" t="str">
        <f>IFERROR(__xludf.DUMMYFUNCTION("CONCATENATE(""CLASE 0"",REGEXEXTRACT(H150,""[\d]+""))"),"CLASE 01")</f>
        <v>CLASE 01</v>
      </c>
      <c r="L150" s="34" t="s">
        <v>745</v>
      </c>
      <c r="M150" s="17" t="s">
        <v>263</v>
      </c>
      <c r="N150" s="65" t="s">
        <v>263</v>
      </c>
      <c r="O150" s="18" t="s">
        <v>642</v>
      </c>
      <c r="P150" s="18" t="s">
        <v>643</v>
      </c>
      <c r="Q150" s="18" t="s">
        <v>644</v>
      </c>
      <c r="R150" s="18">
        <v>30.0</v>
      </c>
      <c r="S150" s="19"/>
      <c r="T150" s="21" t="s">
        <v>122</v>
      </c>
      <c r="U150" s="21" t="s">
        <v>124</v>
      </c>
      <c r="V150" s="19"/>
      <c r="W150" s="19"/>
      <c r="X150" s="19"/>
      <c r="Y150" s="19"/>
      <c r="Z150" s="19"/>
      <c r="AA150" s="19"/>
      <c r="AB150" s="19"/>
      <c r="AC150" s="19"/>
      <c r="AD150" s="19"/>
      <c r="AE150" s="19"/>
      <c r="AF150" s="19"/>
      <c r="AG150" s="19"/>
      <c r="AH150" s="19"/>
      <c r="AI150" s="19"/>
      <c r="AJ150" s="19"/>
      <c r="AK150" s="19"/>
      <c r="AL150" s="19"/>
      <c r="AM150" s="19"/>
    </row>
    <row r="151">
      <c r="A151" s="23"/>
      <c r="B151" s="23"/>
      <c r="C151" s="23"/>
      <c r="D151" s="23"/>
      <c r="E151" s="23"/>
      <c r="F151" s="23"/>
      <c r="G151" s="23"/>
      <c r="H151" s="34" t="s">
        <v>722</v>
      </c>
      <c r="I151" s="15" t="str">
        <f t="shared" si="4"/>
        <v>https://youtube.com/embed/9kCOepysZo0</v>
      </c>
      <c r="J151" s="15" t="s">
        <v>724</v>
      </c>
      <c r="K151" s="33" t="str">
        <f>IFERROR(__xludf.DUMMYFUNCTION("CONCATENATE(""CLASE 0"",REGEXEXTRACT(H151,""[\d]+""))"),"CLASE 02")</f>
        <v>CLASE 02</v>
      </c>
      <c r="L151" s="34" t="s">
        <v>750</v>
      </c>
      <c r="M151" s="17" t="s">
        <v>263</v>
      </c>
      <c r="N151" s="23"/>
      <c r="O151" s="18"/>
      <c r="P151" s="18"/>
      <c r="Q151" s="18"/>
      <c r="R151" s="18"/>
      <c r="S151" s="19"/>
      <c r="T151" s="21"/>
      <c r="U151" s="21"/>
      <c r="V151" s="19"/>
      <c r="W151" s="19"/>
      <c r="X151" s="19"/>
      <c r="Y151" s="19"/>
      <c r="Z151" s="19"/>
      <c r="AA151" s="19"/>
      <c r="AB151" s="19"/>
      <c r="AC151" s="19"/>
      <c r="AD151" s="19"/>
      <c r="AE151" s="19"/>
      <c r="AF151" s="19"/>
      <c r="AG151" s="19"/>
      <c r="AH151" s="19"/>
      <c r="AI151" s="19"/>
      <c r="AJ151" s="19"/>
      <c r="AK151" s="19"/>
      <c r="AL151" s="19"/>
      <c r="AM151" s="19"/>
    </row>
    <row r="152">
      <c r="A152" s="23"/>
      <c r="B152" s="23"/>
      <c r="C152" s="23"/>
      <c r="D152" s="23"/>
      <c r="E152" s="23"/>
      <c r="F152" s="23"/>
      <c r="G152" s="23"/>
      <c r="H152" s="34" t="s">
        <v>725</v>
      </c>
      <c r="I152" s="15" t="str">
        <f t="shared" si="4"/>
        <v>https://youtube.com/embed/uWBJbS-Vz4M</v>
      </c>
      <c r="J152" s="15" t="s">
        <v>726</v>
      </c>
      <c r="K152" s="33" t="str">
        <f>IFERROR(__xludf.DUMMYFUNCTION("CONCATENATE(""CLASE 0"",REGEXEXTRACT(H152,""[\d]+""))"),"CLASE 03")</f>
        <v>CLASE 03</v>
      </c>
      <c r="L152" s="34" t="s">
        <v>753</v>
      </c>
      <c r="M152" s="17" t="s">
        <v>263</v>
      </c>
      <c r="N152" s="23"/>
      <c r="O152" s="18"/>
      <c r="P152" s="18"/>
      <c r="Q152" s="18"/>
      <c r="R152" s="18"/>
      <c r="S152" s="19"/>
      <c r="T152" s="21"/>
      <c r="U152" s="21"/>
      <c r="V152" s="19"/>
      <c r="W152" s="19"/>
      <c r="X152" s="19"/>
      <c r="Y152" s="19"/>
      <c r="Z152" s="19"/>
      <c r="AA152" s="19"/>
      <c r="AB152" s="19"/>
      <c r="AC152" s="19"/>
      <c r="AD152" s="19"/>
      <c r="AE152" s="19"/>
      <c r="AF152" s="19"/>
      <c r="AG152" s="19"/>
      <c r="AH152" s="19"/>
      <c r="AI152" s="19"/>
      <c r="AJ152" s="19"/>
      <c r="AK152" s="19"/>
      <c r="AL152" s="19"/>
      <c r="AM152" s="19"/>
    </row>
    <row r="153">
      <c r="A153" s="27"/>
      <c r="B153" s="27"/>
      <c r="C153" s="27"/>
      <c r="D153" s="27"/>
      <c r="E153" s="27"/>
      <c r="F153" s="27"/>
      <c r="G153" s="27"/>
      <c r="H153" s="34" t="s">
        <v>727</v>
      </c>
      <c r="I153" s="15" t="str">
        <f t="shared" si="4"/>
        <v>https://youtube.com/embed/sGOn3YPoMJw</v>
      </c>
      <c r="J153" s="15" t="s">
        <v>728</v>
      </c>
      <c r="K153" s="33" t="str">
        <f>IFERROR(__xludf.DUMMYFUNCTION("CONCATENATE(""CLASE 0"",REGEXEXTRACT(H153,""[\d]+""))"),"CLASE 04")</f>
        <v>CLASE 04</v>
      </c>
      <c r="L153" s="34" t="s">
        <v>756</v>
      </c>
      <c r="M153" s="17" t="s">
        <v>263</v>
      </c>
      <c r="N153" s="27"/>
      <c r="O153" s="18"/>
      <c r="P153" s="18"/>
      <c r="Q153" s="18"/>
      <c r="R153" s="18"/>
      <c r="S153" s="19"/>
      <c r="T153" s="21"/>
      <c r="U153" s="21"/>
      <c r="V153" s="19"/>
      <c r="W153" s="19"/>
      <c r="X153" s="19"/>
      <c r="Y153" s="19"/>
      <c r="Z153" s="19"/>
      <c r="AA153" s="19"/>
      <c r="AB153" s="19"/>
      <c r="AC153" s="19"/>
      <c r="AD153" s="19"/>
      <c r="AE153" s="19"/>
      <c r="AF153" s="19"/>
      <c r="AG153" s="19"/>
      <c r="AH153" s="19"/>
      <c r="AI153" s="19"/>
      <c r="AJ153" s="19"/>
      <c r="AK153" s="19"/>
      <c r="AL153" s="19"/>
      <c r="AM153" s="19"/>
    </row>
    <row r="154">
      <c r="A154" s="11" t="s">
        <v>729</v>
      </c>
      <c r="B154" s="26" t="str">
        <f>TRIM(MID(A154, SEARCH("- ", A154) + 2, LEN(A154)))
</f>
        <v>BIG DATA APLICADA A PROCESOS INDUSTRIALES</v>
      </c>
      <c r="C154" s="13" t="s">
        <v>695</v>
      </c>
      <c r="D154" s="13"/>
      <c r="E154" s="13"/>
      <c r="F154" s="13"/>
      <c r="G154" s="13" t="s">
        <v>77</v>
      </c>
      <c r="H154" s="57" t="s">
        <v>760</v>
      </c>
      <c r="I154" s="15" t="str">
        <f t="shared" si="4"/>
        <v>https://youtube.com/embed/Tf_8cAbgV_Q</v>
      </c>
      <c r="J154" s="15" t="s">
        <v>721</v>
      </c>
      <c r="K154" s="18"/>
      <c r="L154" s="18"/>
      <c r="M154" s="18"/>
      <c r="N154" s="18"/>
      <c r="O154" s="18" t="s">
        <v>642</v>
      </c>
      <c r="P154" s="18" t="s">
        <v>643</v>
      </c>
      <c r="Q154" s="18" t="s">
        <v>644</v>
      </c>
      <c r="R154" s="18">
        <v>30.0</v>
      </c>
      <c r="S154" s="19"/>
      <c r="T154" s="21" t="s">
        <v>122</v>
      </c>
      <c r="U154" s="21" t="s">
        <v>124</v>
      </c>
      <c r="V154" s="19"/>
      <c r="W154" s="19"/>
      <c r="X154" s="19"/>
      <c r="Y154" s="19"/>
      <c r="Z154" s="19"/>
      <c r="AA154" s="19"/>
      <c r="AB154" s="19"/>
      <c r="AC154" s="19"/>
      <c r="AD154" s="19"/>
      <c r="AE154" s="19"/>
      <c r="AF154" s="19"/>
      <c r="AG154" s="19"/>
      <c r="AH154" s="19"/>
      <c r="AI154" s="19"/>
      <c r="AJ154" s="19"/>
      <c r="AK154" s="19"/>
      <c r="AL154" s="19"/>
      <c r="AM154" s="19"/>
    </row>
    <row r="155">
      <c r="A155" s="23"/>
      <c r="B155" s="23"/>
      <c r="C155" s="23"/>
      <c r="D155" s="23"/>
      <c r="E155" s="23"/>
      <c r="F155" s="23"/>
      <c r="G155" s="23"/>
      <c r="H155" s="34" t="s">
        <v>722</v>
      </c>
      <c r="I155" s="15" t="str">
        <f t="shared" si="4"/>
        <v>https://youtube.com/embed/9kCOepysZo0</v>
      </c>
      <c r="J155" s="15" t="s">
        <v>724</v>
      </c>
      <c r="K155" s="18"/>
      <c r="L155" s="18"/>
      <c r="M155" s="18"/>
      <c r="N155" s="18"/>
      <c r="O155" s="18"/>
      <c r="P155" s="18"/>
      <c r="Q155" s="18"/>
      <c r="R155" s="18"/>
      <c r="S155" s="19"/>
      <c r="T155" s="21"/>
      <c r="U155" s="21"/>
      <c r="V155" s="19"/>
      <c r="W155" s="19"/>
      <c r="X155" s="19"/>
      <c r="Y155" s="19"/>
      <c r="Z155" s="19"/>
      <c r="AA155" s="19"/>
      <c r="AB155" s="19"/>
      <c r="AC155" s="19"/>
      <c r="AD155" s="19"/>
      <c r="AE155" s="19"/>
      <c r="AF155" s="19"/>
      <c r="AG155" s="19"/>
      <c r="AH155" s="19"/>
      <c r="AI155" s="19"/>
      <c r="AJ155" s="19"/>
      <c r="AK155" s="19"/>
      <c r="AL155" s="19"/>
      <c r="AM155" s="19"/>
    </row>
    <row r="156">
      <c r="A156" s="23"/>
      <c r="B156" s="23"/>
      <c r="C156" s="23"/>
      <c r="D156" s="23"/>
      <c r="E156" s="23"/>
      <c r="F156" s="23"/>
      <c r="G156" s="23"/>
      <c r="H156" s="34" t="s">
        <v>725</v>
      </c>
      <c r="I156" s="15" t="str">
        <f t="shared" si="4"/>
        <v>https://youtube.com/embed/uWBJbS-Vz4M</v>
      </c>
      <c r="J156" s="15" t="s">
        <v>726</v>
      </c>
      <c r="K156" s="18"/>
      <c r="L156" s="18"/>
      <c r="M156" s="18"/>
      <c r="N156" s="18"/>
      <c r="O156" s="18"/>
      <c r="P156" s="18"/>
      <c r="Q156" s="18"/>
      <c r="R156" s="18"/>
      <c r="S156" s="19"/>
      <c r="T156" s="21"/>
      <c r="U156" s="21"/>
      <c r="V156" s="19"/>
      <c r="W156" s="19"/>
      <c r="X156" s="19"/>
      <c r="Y156" s="19"/>
      <c r="Z156" s="19"/>
      <c r="AA156" s="19"/>
      <c r="AB156" s="19"/>
      <c r="AC156" s="19"/>
      <c r="AD156" s="19"/>
      <c r="AE156" s="19"/>
      <c r="AF156" s="19"/>
      <c r="AG156" s="19"/>
      <c r="AH156" s="19"/>
      <c r="AI156" s="19"/>
      <c r="AJ156" s="19"/>
      <c r="AK156" s="19"/>
      <c r="AL156" s="19"/>
      <c r="AM156" s="19"/>
    </row>
    <row r="157">
      <c r="A157" s="27"/>
      <c r="B157" s="27"/>
      <c r="C157" s="27"/>
      <c r="D157" s="27"/>
      <c r="E157" s="27"/>
      <c r="F157" s="27"/>
      <c r="G157" s="27"/>
      <c r="H157" s="34" t="s">
        <v>727</v>
      </c>
      <c r="I157" s="15" t="str">
        <f t="shared" si="4"/>
        <v>https://youtube.com/embed/sGOn3YPoMJw</v>
      </c>
      <c r="J157" s="15" t="s">
        <v>728</v>
      </c>
      <c r="K157" s="18"/>
      <c r="L157" s="18"/>
      <c r="M157" s="18"/>
      <c r="N157" s="18"/>
      <c r="O157" s="18"/>
      <c r="P157" s="18"/>
      <c r="Q157" s="18"/>
      <c r="R157" s="18"/>
      <c r="S157" s="19"/>
      <c r="T157" s="21"/>
      <c r="U157" s="21"/>
      <c r="V157" s="19"/>
      <c r="W157" s="19"/>
      <c r="X157" s="19"/>
      <c r="Y157" s="19"/>
      <c r="Z157" s="19"/>
      <c r="AA157" s="19"/>
      <c r="AB157" s="19"/>
      <c r="AC157" s="19"/>
      <c r="AD157" s="19"/>
      <c r="AE157" s="19"/>
      <c r="AF157" s="19"/>
      <c r="AG157" s="19"/>
      <c r="AH157" s="19"/>
      <c r="AI157" s="19"/>
      <c r="AJ157" s="19"/>
      <c r="AK157" s="19"/>
      <c r="AL157" s="19"/>
      <c r="AM157" s="19"/>
    </row>
    <row r="158">
      <c r="A158" s="28" t="s">
        <v>732</v>
      </c>
      <c r="B158" s="26" t="str">
        <f>TRIM(MID(A158, SEARCH("- ", A158) + 2, LEN(A158)))
</f>
        <v>CONTROL DE COSTOS EN PRODUCCIÓN INDUSTRIAL O EN ÁREAS DE PRODUCCIÓN</v>
      </c>
      <c r="C158" s="13" t="s">
        <v>77</v>
      </c>
      <c r="D158" s="13" t="s">
        <v>77</v>
      </c>
      <c r="E158" s="13" t="s">
        <v>77</v>
      </c>
      <c r="F158" s="13" t="s">
        <v>62</v>
      </c>
      <c r="G158" s="13" t="s">
        <v>77</v>
      </c>
      <c r="H158" s="34" t="s">
        <v>733</v>
      </c>
      <c r="I158" s="15" t="str">
        <f t="shared" si="4"/>
        <v>https://youtube.com/embed/oBuVgNIC1Gk</v>
      </c>
      <c r="J158" s="15" t="s">
        <v>734</v>
      </c>
      <c r="K158" s="33" t="str">
        <f>IFERROR(__xludf.DUMMYFUNCTION("CONCATENATE(""CLASE 0"",REGEXEXTRACT(H158,""[\d]+""))"),"CLASE 01")</f>
        <v>CLASE 01</v>
      </c>
      <c r="L158" s="34" t="s">
        <v>773</v>
      </c>
      <c r="M158" s="17" t="s">
        <v>263</v>
      </c>
      <c r="N158" s="65" t="s">
        <v>263</v>
      </c>
      <c r="O158" s="18" t="s">
        <v>658</v>
      </c>
      <c r="P158" s="18" t="s">
        <v>659</v>
      </c>
      <c r="Q158" s="18" t="s">
        <v>643</v>
      </c>
      <c r="R158" s="18">
        <v>30.0</v>
      </c>
      <c r="S158" s="19"/>
      <c r="T158" s="21" t="s">
        <v>122</v>
      </c>
      <c r="U158" s="21" t="s">
        <v>124</v>
      </c>
      <c r="V158" s="19"/>
      <c r="W158" s="19"/>
      <c r="X158" s="19"/>
      <c r="Y158" s="19"/>
      <c r="Z158" s="19"/>
      <c r="AA158" s="19"/>
      <c r="AB158" s="19"/>
      <c r="AC158" s="19"/>
      <c r="AD158" s="19"/>
      <c r="AE158" s="19"/>
      <c r="AF158" s="19"/>
      <c r="AG158" s="19"/>
      <c r="AH158" s="19"/>
      <c r="AI158" s="19"/>
      <c r="AJ158" s="19"/>
      <c r="AK158" s="19"/>
      <c r="AL158" s="19"/>
      <c r="AM158" s="19"/>
    </row>
    <row r="159">
      <c r="A159" s="23"/>
      <c r="B159" s="23"/>
      <c r="C159" s="23"/>
      <c r="D159" s="23"/>
      <c r="E159" s="23"/>
      <c r="F159" s="23"/>
      <c r="G159" s="23"/>
      <c r="H159" s="34" t="s">
        <v>736</v>
      </c>
      <c r="I159" s="15" t="str">
        <f t="shared" si="4"/>
        <v>https://youtube.com/embed/1hCY_IUCXzc</v>
      </c>
      <c r="J159" s="15" t="s">
        <v>737</v>
      </c>
      <c r="K159" s="33" t="str">
        <f>IFERROR(__xludf.DUMMYFUNCTION("CONCATENATE(""CLASE 0"",REGEXEXTRACT(H159,""[\d]+""))"),"CLASE 02")</f>
        <v>CLASE 02</v>
      </c>
      <c r="L159" s="34" t="s">
        <v>778</v>
      </c>
      <c r="M159" s="17" t="s">
        <v>263</v>
      </c>
      <c r="N159" s="23"/>
      <c r="O159" s="18"/>
      <c r="P159" s="18"/>
      <c r="Q159" s="18"/>
      <c r="R159" s="18"/>
      <c r="S159" s="59"/>
      <c r="T159" s="21"/>
      <c r="U159" s="21"/>
      <c r="V159" s="59"/>
      <c r="W159" s="59"/>
      <c r="X159" s="59"/>
      <c r="Y159" s="59"/>
      <c r="Z159" s="59"/>
      <c r="AA159" s="59"/>
      <c r="AB159" s="59"/>
      <c r="AC159" s="59"/>
      <c r="AD159" s="59"/>
      <c r="AE159" s="59"/>
      <c r="AF159" s="59"/>
      <c r="AG159" s="59"/>
      <c r="AH159" s="59"/>
      <c r="AI159" s="59"/>
      <c r="AJ159" s="59"/>
      <c r="AK159" s="59"/>
      <c r="AL159" s="59"/>
      <c r="AM159" s="59"/>
    </row>
    <row r="160">
      <c r="A160" s="23"/>
      <c r="B160" s="23"/>
      <c r="C160" s="23"/>
      <c r="D160" s="23"/>
      <c r="E160" s="23"/>
      <c r="F160" s="23"/>
      <c r="G160" s="23"/>
      <c r="H160" s="34" t="s">
        <v>738</v>
      </c>
      <c r="I160" s="15" t="str">
        <f t="shared" si="4"/>
        <v>https://youtube.com/embed/2CmWw6IXfPc</v>
      </c>
      <c r="J160" s="15" t="s">
        <v>739</v>
      </c>
      <c r="K160" s="33" t="str">
        <f>IFERROR(__xludf.DUMMYFUNCTION("CONCATENATE(""CLASE 0"",REGEXEXTRACT(H160,""[\d]+""))"),"CLASE 03")</f>
        <v>CLASE 03</v>
      </c>
      <c r="L160" s="34" t="s">
        <v>783</v>
      </c>
      <c r="M160" s="17" t="s">
        <v>263</v>
      </c>
      <c r="N160" s="23"/>
      <c r="O160" s="18"/>
      <c r="P160" s="18"/>
      <c r="Q160" s="18"/>
      <c r="R160" s="18"/>
      <c r="S160" s="59"/>
      <c r="T160" s="21"/>
      <c r="U160" s="21"/>
      <c r="V160" s="59"/>
      <c r="W160" s="59"/>
      <c r="X160" s="59"/>
      <c r="Y160" s="59"/>
      <c r="Z160" s="59"/>
      <c r="AA160" s="59"/>
      <c r="AB160" s="59"/>
      <c r="AC160" s="59"/>
      <c r="AD160" s="59"/>
      <c r="AE160" s="59"/>
      <c r="AF160" s="59"/>
      <c r="AG160" s="59"/>
      <c r="AH160" s="59"/>
      <c r="AI160" s="59"/>
      <c r="AJ160" s="59"/>
      <c r="AK160" s="59"/>
      <c r="AL160" s="59"/>
      <c r="AM160" s="59"/>
    </row>
    <row r="161">
      <c r="A161" s="27"/>
      <c r="B161" s="27"/>
      <c r="C161" s="27"/>
      <c r="D161" s="27"/>
      <c r="E161" s="27"/>
      <c r="F161" s="27"/>
      <c r="G161" s="27"/>
      <c r="H161" s="34" t="s">
        <v>741</v>
      </c>
      <c r="I161" s="15" t="str">
        <f t="shared" si="4"/>
        <v>https://youtube.com/embed/dTsO9XHFhuY</v>
      </c>
      <c r="J161" s="15" t="s">
        <v>742</v>
      </c>
      <c r="K161" s="33" t="str">
        <f>IFERROR(__xludf.DUMMYFUNCTION("CONCATENATE(""CLASE 0"",REGEXEXTRACT(H161,""[\d]+""))"),"CLASE 04")</f>
        <v>CLASE 04</v>
      </c>
      <c r="L161" s="34" t="s">
        <v>786</v>
      </c>
      <c r="M161" s="17" t="s">
        <v>263</v>
      </c>
      <c r="N161" s="27"/>
      <c r="O161" s="18"/>
      <c r="P161" s="18"/>
      <c r="Q161" s="18"/>
      <c r="R161" s="18"/>
      <c r="S161" s="59"/>
      <c r="T161" s="21"/>
      <c r="U161" s="21"/>
      <c r="V161" s="59"/>
      <c r="W161" s="59"/>
      <c r="X161" s="59"/>
      <c r="Y161" s="59"/>
      <c r="Z161" s="59"/>
      <c r="AA161" s="59"/>
      <c r="AB161" s="59"/>
      <c r="AC161" s="59"/>
      <c r="AD161" s="59"/>
      <c r="AE161" s="59"/>
      <c r="AF161" s="59"/>
      <c r="AG161" s="59"/>
      <c r="AH161" s="59"/>
      <c r="AI161" s="59"/>
      <c r="AJ161" s="59"/>
      <c r="AK161" s="59"/>
      <c r="AL161" s="59"/>
      <c r="AM161" s="59"/>
    </row>
    <row r="162">
      <c r="A162" s="26" t="s">
        <v>743</v>
      </c>
      <c r="B162" s="26" t="str">
        <f>TRIM(MID(A162, SEARCH("- ", A162) + 2, LEN(A162)))
</f>
        <v>IMPORTACIÓN Y EXPORTACIÓN DESDE 0: CLAVES PARA EL ÉXITO</v>
      </c>
      <c r="C162" s="13" t="s">
        <v>77</v>
      </c>
      <c r="D162" s="13" t="s">
        <v>77</v>
      </c>
      <c r="E162" s="13" t="s">
        <v>77</v>
      </c>
      <c r="F162" s="13" t="s">
        <v>63</v>
      </c>
      <c r="G162" s="13" t="s">
        <v>77</v>
      </c>
      <c r="H162" s="57" t="s">
        <v>792</v>
      </c>
      <c r="I162" s="15" t="str">
        <f t="shared" si="4"/>
        <v>https://youtube.com/embed/e7kJA_0GDJ4</v>
      </c>
      <c r="J162" s="15" t="s">
        <v>746</v>
      </c>
      <c r="K162" s="33" t="s">
        <v>170</v>
      </c>
      <c r="L162" s="34" t="s">
        <v>795</v>
      </c>
      <c r="M162" s="17" t="s">
        <v>114</v>
      </c>
      <c r="N162" s="56" t="str">
        <f>"COMIENZA DICIENDO QUE ES EL RESUMEN DEL CURSO " &amp; B162 &amp; " DE EDUMIN, LUEGO HAZ EL RESUMEN Y FINALIZA INVITANDO A VER EL RESTO DE RECURSOS DE LAS ZONAS DE EDUMIN."</f>
        <v>COMIENZA DICIENDO QUE ES EL RESUMEN DEL CURSO IMPORTACIÓN Y EXPORTACIÓN DESDE 0: CLAVES PARA EL ÉXITO DE EDUMIN, LUEGO HAZ EL RESUMEN Y FINALIZA INVITANDO A VER EL RESTO DE RECURSOS DE LAS ZONAS DE EDUMIN.</v>
      </c>
      <c r="O162" s="18" t="s">
        <v>747</v>
      </c>
      <c r="P162" s="18" t="s">
        <v>748</v>
      </c>
      <c r="Q162" s="18" t="s">
        <v>749</v>
      </c>
      <c r="R162" s="18">
        <v>30.0</v>
      </c>
      <c r="S162" s="19"/>
      <c r="T162" s="21" t="s">
        <v>122</v>
      </c>
      <c r="U162" s="21" t="s">
        <v>124</v>
      </c>
      <c r="V162" s="19"/>
      <c r="W162" s="19"/>
      <c r="X162" s="19"/>
      <c r="Y162" s="19"/>
      <c r="Z162" s="19"/>
      <c r="AA162" s="19"/>
      <c r="AB162" s="19"/>
      <c r="AC162" s="19"/>
      <c r="AD162" s="19"/>
      <c r="AE162" s="19"/>
      <c r="AF162" s="19"/>
      <c r="AG162" s="19"/>
      <c r="AH162" s="19"/>
      <c r="AI162" s="19"/>
      <c r="AJ162" s="19"/>
      <c r="AK162" s="19"/>
      <c r="AL162" s="19"/>
      <c r="AM162" s="19"/>
    </row>
    <row r="163">
      <c r="A163" s="23"/>
      <c r="B163" s="23"/>
      <c r="C163" s="23"/>
      <c r="D163" s="23"/>
      <c r="E163" s="23"/>
      <c r="F163" s="23"/>
      <c r="G163" s="23"/>
      <c r="H163" s="57" t="s">
        <v>800</v>
      </c>
      <c r="I163" s="15" t="str">
        <f t="shared" si="4"/>
        <v>https://youtube.com/embed/-nNdpfMN2Vg</v>
      </c>
      <c r="J163" s="15" t="s">
        <v>752</v>
      </c>
      <c r="K163" s="33" t="s">
        <v>185</v>
      </c>
      <c r="L163" s="34" t="s">
        <v>805</v>
      </c>
      <c r="M163" s="17" t="s">
        <v>114</v>
      </c>
      <c r="N163" s="37"/>
      <c r="O163" s="18"/>
      <c r="P163" s="18"/>
      <c r="Q163" s="18"/>
      <c r="R163" s="18"/>
      <c r="S163" s="19"/>
      <c r="T163" s="21"/>
      <c r="U163" s="21"/>
      <c r="V163" s="19"/>
      <c r="W163" s="19"/>
      <c r="X163" s="19"/>
      <c r="Y163" s="19"/>
      <c r="Z163" s="19"/>
      <c r="AA163" s="19"/>
      <c r="AB163" s="19"/>
      <c r="AC163" s="19"/>
      <c r="AD163" s="19"/>
      <c r="AE163" s="19"/>
      <c r="AF163" s="19"/>
      <c r="AG163" s="19"/>
      <c r="AH163" s="19"/>
      <c r="AI163" s="19"/>
      <c r="AJ163" s="19"/>
      <c r="AK163" s="19"/>
      <c r="AL163" s="19"/>
      <c r="AM163" s="19"/>
    </row>
    <row r="164">
      <c r="A164" s="23"/>
      <c r="B164" s="23"/>
      <c r="C164" s="23"/>
      <c r="D164" s="23"/>
      <c r="E164" s="23"/>
      <c r="F164" s="23"/>
      <c r="G164" s="23"/>
      <c r="H164" s="34" t="s">
        <v>754</v>
      </c>
      <c r="I164" s="15" t="str">
        <f t="shared" si="4"/>
        <v>https://youtube.com/embed/3oXKrXXkfaA</v>
      </c>
      <c r="J164" s="15" t="s">
        <v>755</v>
      </c>
      <c r="K164" s="33" t="s">
        <v>192</v>
      </c>
      <c r="L164" s="34" t="s">
        <v>807</v>
      </c>
      <c r="M164" s="17" t="s">
        <v>114</v>
      </c>
      <c r="N164" s="37"/>
      <c r="O164" s="18"/>
      <c r="P164" s="18"/>
      <c r="Q164" s="18"/>
      <c r="R164" s="18"/>
      <c r="S164" s="19"/>
      <c r="T164" s="21"/>
      <c r="U164" s="21"/>
      <c r="V164" s="19"/>
      <c r="W164" s="19"/>
      <c r="X164" s="19"/>
      <c r="Y164" s="19"/>
      <c r="Z164" s="19"/>
      <c r="AA164" s="19"/>
      <c r="AB164" s="19"/>
      <c r="AC164" s="19"/>
      <c r="AD164" s="19"/>
      <c r="AE164" s="19"/>
      <c r="AF164" s="19"/>
      <c r="AG164" s="19"/>
      <c r="AH164" s="19"/>
      <c r="AI164" s="19"/>
      <c r="AJ164" s="19"/>
      <c r="AK164" s="19"/>
      <c r="AL164" s="19"/>
      <c r="AM164" s="19"/>
    </row>
    <row r="165">
      <c r="A165" s="27"/>
      <c r="B165" s="27"/>
      <c r="C165" s="27"/>
      <c r="D165" s="27"/>
      <c r="E165" s="27"/>
      <c r="F165" s="27"/>
      <c r="G165" s="27"/>
      <c r="H165" s="34" t="s">
        <v>757</v>
      </c>
      <c r="I165" s="15" t="str">
        <f t="shared" si="4"/>
        <v>https://youtube.com/embed/Cv_RlmqXSZk</v>
      </c>
      <c r="J165" s="15" t="s">
        <v>758</v>
      </c>
      <c r="K165" s="33" t="s">
        <v>212</v>
      </c>
      <c r="L165" s="34" t="s">
        <v>812</v>
      </c>
      <c r="M165" s="17" t="s">
        <v>114</v>
      </c>
      <c r="N165" s="37"/>
      <c r="O165" s="18"/>
      <c r="P165" s="18"/>
      <c r="Q165" s="18"/>
      <c r="R165" s="18"/>
      <c r="S165" s="19"/>
      <c r="T165" s="21"/>
      <c r="U165" s="21"/>
      <c r="V165" s="19"/>
      <c r="W165" s="19"/>
      <c r="X165" s="19"/>
      <c r="Y165" s="19"/>
      <c r="Z165" s="19"/>
      <c r="AA165" s="19"/>
      <c r="AB165" s="19"/>
      <c r="AC165" s="19"/>
      <c r="AD165" s="19"/>
      <c r="AE165" s="19"/>
      <c r="AF165" s="19"/>
      <c r="AG165" s="19"/>
      <c r="AH165" s="19"/>
      <c r="AI165" s="19"/>
      <c r="AJ165" s="19"/>
      <c r="AK165" s="19"/>
      <c r="AL165" s="19"/>
      <c r="AM165" s="19"/>
    </row>
    <row r="166">
      <c r="A166" s="26" t="s">
        <v>759</v>
      </c>
      <c r="B166" s="26" t="str">
        <f>TRIM(MID(A166, SEARCH("- ", A166) + 2, LEN(A166)))
</f>
        <v>IMPLEMENTACIÓN DE LA NORMA ISO 9001:2015</v>
      </c>
      <c r="C166" s="13" t="s">
        <v>77</v>
      </c>
      <c r="D166" s="13" t="s">
        <v>77</v>
      </c>
      <c r="E166" s="13" t="s">
        <v>77</v>
      </c>
      <c r="F166" s="13" t="s">
        <v>62</v>
      </c>
      <c r="G166" s="13" t="s">
        <v>77</v>
      </c>
      <c r="H166" s="34" t="s">
        <v>761</v>
      </c>
      <c r="I166" s="15" t="str">
        <f t="shared" si="4"/>
        <v>https://youtube.com/embed/hmEevJCvEyQ</v>
      </c>
      <c r="J166" s="15" t="s">
        <v>762</v>
      </c>
      <c r="K166" s="33" t="s">
        <v>170</v>
      </c>
      <c r="L166" s="49" t="s">
        <v>818</v>
      </c>
      <c r="M166" s="17" t="s">
        <v>114</v>
      </c>
      <c r="N166" s="18"/>
      <c r="O166" s="18" t="s">
        <v>763</v>
      </c>
      <c r="P166" s="18" t="s">
        <v>764</v>
      </c>
      <c r="Q166" s="18" t="s">
        <v>748</v>
      </c>
      <c r="R166" s="18">
        <v>30.0</v>
      </c>
      <c r="S166" s="19"/>
      <c r="T166" s="21" t="s">
        <v>122</v>
      </c>
      <c r="U166" s="21" t="s">
        <v>124</v>
      </c>
      <c r="V166" s="19"/>
      <c r="W166" s="19"/>
      <c r="X166" s="19"/>
      <c r="Y166" s="19"/>
      <c r="Z166" s="19"/>
      <c r="AA166" s="19"/>
      <c r="AB166" s="19"/>
      <c r="AC166" s="19"/>
      <c r="AD166" s="19"/>
      <c r="AE166" s="19"/>
      <c r="AF166" s="19"/>
      <c r="AG166" s="19"/>
      <c r="AH166" s="19"/>
      <c r="AI166" s="19"/>
      <c r="AJ166" s="19"/>
      <c r="AK166" s="19"/>
      <c r="AL166" s="19"/>
      <c r="AM166" s="19"/>
    </row>
    <row r="167">
      <c r="A167" s="23"/>
      <c r="B167" s="23"/>
      <c r="C167" s="23"/>
      <c r="D167" s="23"/>
      <c r="E167" s="23"/>
      <c r="F167" s="23"/>
      <c r="G167" s="23"/>
      <c r="H167" s="34" t="s">
        <v>765</v>
      </c>
      <c r="I167" s="15" t="str">
        <f t="shared" si="4"/>
        <v>https://youtube.com/embed/izrq5fGiM28</v>
      </c>
      <c r="J167" s="15" t="s">
        <v>766</v>
      </c>
      <c r="K167" s="33" t="s">
        <v>185</v>
      </c>
      <c r="L167" s="49" t="s">
        <v>823</v>
      </c>
      <c r="M167" s="17" t="s">
        <v>114</v>
      </c>
      <c r="N167" s="18"/>
      <c r="O167" s="18"/>
      <c r="P167" s="18"/>
      <c r="Q167" s="18"/>
      <c r="R167" s="18"/>
      <c r="S167" s="19"/>
      <c r="T167" s="21"/>
      <c r="U167" s="21"/>
      <c r="V167" s="19"/>
      <c r="W167" s="19"/>
      <c r="X167" s="19"/>
      <c r="Y167" s="19"/>
      <c r="Z167" s="19"/>
      <c r="AA167" s="19"/>
      <c r="AB167" s="19"/>
      <c r="AC167" s="19"/>
      <c r="AD167" s="19"/>
      <c r="AE167" s="19"/>
      <c r="AF167" s="19"/>
      <c r="AG167" s="19"/>
      <c r="AH167" s="19"/>
      <c r="AI167" s="19"/>
      <c r="AJ167" s="19"/>
      <c r="AK167" s="19"/>
      <c r="AL167" s="19"/>
      <c r="AM167" s="19"/>
    </row>
    <row r="168">
      <c r="A168" s="23"/>
      <c r="B168" s="23"/>
      <c r="C168" s="23"/>
      <c r="D168" s="23"/>
      <c r="E168" s="23"/>
      <c r="F168" s="23"/>
      <c r="G168" s="23"/>
      <c r="H168" s="34" t="s">
        <v>767</v>
      </c>
      <c r="I168" s="15" t="str">
        <f t="shared" si="4"/>
        <v>https://youtube.com/embed/z9TnWuNNVjY</v>
      </c>
      <c r="J168" s="15" t="s">
        <v>768</v>
      </c>
      <c r="K168" s="33" t="s">
        <v>192</v>
      </c>
      <c r="L168" s="49" t="s">
        <v>826</v>
      </c>
      <c r="M168" s="17" t="s">
        <v>114</v>
      </c>
      <c r="N168" s="18"/>
      <c r="O168" s="18"/>
      <c r="P168" s="18"/>
      <c r="Q168" s="18"/>
      <c r="R168" s="18"/>
      <c r="S168" s="19"/>
      <c r="T168" s="21"/>
      <c r="U168" s="21"/>
      <c r="V168" s="19"/>
      <c r="W168" s="19"/>
      <c r="X168" s="19"/>
      <c r="Y168" s="19"/>
      <c r="Z168" s="19"/>
      <c r="AA168" s="19"/>
      <c r="AB168" s="19"/>
      <c r="AC168" s="19"/>
      <c r="AD168" s="19"/>
      <c r="AE168" s="19"/>
      <c r="AF168" s="19"/>
      <c r="AG168" s="19"/>
      <c r="AH168" s="19"/>
      <c r="AI168" s="19"/>
      <c r="AJ168" s="19"/>
      <c r="AK168" s="19"/>
      <c r="AL168" s="19"/>
      <c r="AM168" s="19"/>
    </row>
    <row r="169">
      <c r="A169" s="27"/>
      <c r="B169" s="27"/>
      <c r="C169" s="27"/>
      <c r="D169" s="27"/>
      <c r="E169" s="27"/>
      <c r="F169" s="27"/>
      <c r="G169" s="27"/>
      <c r="H169" s="34" t="s">
        <v>769</v>
      </c>
      <c r="I169" s="15" t="str">
        <f t="shared" si="4"/>
        <v>https://youtube.com/embed/2cN7a5yrktM</v>
      </c>
      <c r="J169" s="15" t="s">
        <v>770</v>
      </c>
      <c r="K169" s="33" t="s">
        <v>212</v>
      </c>
      <c r="L169" s="49" t="s">
        <v>830</v>
      </c>
      <c r="M169" s="17" t="s">
        <v>114</v>
      </c>
      <c r="N169" s="18"/>
      <c r="O169" s="18"/>
      <c r="P169" s="18"/>
      <c r="Q169" s="18"/>
      <c r="R169" s="18"/>
      <c r="S169" s="19"/>
      <c r="T169" s="21"/>
      <c r="U169" s="21"/>
      <c r="V169" s="19"/>
      <c r="W169" s="19"/>
      <c r="X169" s="19"/>
      <c r="Y169" s="19"/>
      <c r="Z169" s="19"/>
      <c r="AA169" s="19"/>
      <c r="AB169" s="19"/>
      <c r="AC169" s="19"/>
      <c r="AD169" s="19"/>
      <c r="AE169" s="19"/>
      <c r="AF169" s="19"/>
      <c r="AG169" s="19"/>
      <c r="AH169" s="19"/>
      <c r="AI169" s="19"/>
      <c r="AJ169" s="19"/>
      <c r="AK169" s="19"/>
      <c r="AL169" s="19"/>
      <c r="AM169" s="19"/>
    </row>
    <row r="170">
      <c r="A170" s="26" t="s">
        <v>771</v>
      </c>
      <c r="B170" s="26" t="str">
        <f>TRIM(MID(A170, SEARCH("- ", A170) + 2, LEN(A170)))
</f>
        <v>ANÁLISIS DE MERCADOS INTERNACIONALES: ESTRATEGIAS DE IMPORTACIÓN Y EXPORTACIÓN 2025-2026</v>
      </c>
      <c r="C170" s="13" t="s">
        <v>77</v>
      </c>
      <c r="D170" s="13" t="s">
        <v>77</v>
      </c>
      <c r="E170" s="13" t="s">
        <v>77</v>
      </c>
      <c r="F170" s="13" t="s">
        <v>62</v>
      </c>
      <c r="G170" s="13" t="s">
        <v>77</v>
      </c>
      <c r="H170" s="34" t="s">
        <v>772</v>
      </c>
      <c r="I170" s="15" t="str">
        <f t="shared" si="4"/>
        <v>https://youtube.com/embed/pr5NN0hn5ww</v>
      </c>
      <c r="J170" s="32" t="s">
        <v>774</v>
      </c>
      <c r="K170" s="33" t="s">
        <v>170</v>
      </c>
      <c r="L170" s="34" t="s">
        <v>833</v>
      </c>
      <c r="M170" s="17" t="s">
        <v>114</v>
      </c>
      <c r="N170" s="56" t="str">
        <f>"COMIENZA DICIENDO QUE ES EL RESUMEN DEL CURSO " &amp; B170 &amp; " DE EDUMIN, LUEGO HAZ EL RESUMEN Y FINALIZA INVITANDO A VER EL RESTO DE RECURSOS DE LAS ZONAS DE EDUMIN."</f>
        <v>COMIENZA DICIENDO QUE ES EL RESUMEN DEL CURSO ANÁLISIS DE MERCADOS INTERNACIONALES: ESTRATEGIAS DE IMPORTACIÓN Y EXPORTACIÓN 2025-2026 DE EDUMIN, LUEGO HAZ EL RESUMEN Y FINALIZA INVITANDO A VER EL RESTO DE RECURSOS DE LAS ZONAS DE EDUMIN.</v>
      </c>
      <c r="O170" s="18" t="s">
        <v>747</v>
      </c>
      <c r="P170" s="18" t="s">
        <v>748</v>
      </c>
      <c r="Q170" s="18" t="s">
        <v>749</v>
      </c>
      <c r="R170" s="18">
        <v>30.0</v>
      </c>
      <c r="S170" s="19"/>
      <c r="T170" s="21" t="s">
        <v>122</v>
      </c>
      <c r="U170" s="21" t="s">
        <v>124</v>
      </c>
      <c r="V170" s="19"/>
      <c r="W170" s="19"/>
      <c r="X170" s="19"/>
      <c r="Y170" s="19"/>
      <c r="Z170" s="19"/>
      <c r="AA170" s="19"/>
      <c r="AB170" s="19"/>
      <c r="AC170" s="19"/>
      <c r="AD170" s="19"/>
      <c r="AE170" s="19"/>
      <c r="AF170" s="19"/>
      <c r="AG170" s="19"/>
      <c r="AH170" s="19"/>
      <c r="AI170" s="19"/>
      <c r="AJ170" s="19"/>
      <c r="AK170" s="19"/>
      <c r="AL170" s="19"/>
      <c r="AM170" s="19"/>
    </row>
    <row r="171">
      <c r="A171" s="23"/>
      <c r="B171" s="23"/>
      <c r="C171" s="23"/>
      <c r="D171" s="23"/>
      <c r="E171" s="23"/>
      <c r="F171" s="23"/>
      <c r="G171" s="23"/>
      <c r="H171" s="34" t="s">
        <v>775</v>
      </c>
      <c r="I171" s="15" t="str">
        <f t="shared" si="4"/>
        <v>https://youtube.com/embed/1b4z9bkAack</v>
      </c>
      <c r="J171" s="32" t="s">
        <v>776</v>
      </c>
      <c r="K171" s="33" t="s">
        <v>185</v>
      </c>
      <c r="L171" s="34" t="s">
        <v>836</v>
      </c>
      <c r="M171" s="17" t="s">
        <v>114</v>
      </c>
      <c r="N171" s="37"/>
      <c r="O171" s="18"/>
      <c r="P171" s="18"/>
      <c r="Q171" s="18"/>
      <c r="R171" s="18"/>
      <c r="S171" s="19"/>
      <c r="T171" s="21"/>
      <c r="U171" s="21"/>
      <c r="V171" s="19"/>
      <c r="W171" s="19"/>
      <c r="X171" s="19"/>
      <c r="Y171" s="19"/>
      <c r="Z171" s="19"/>
      <c r="AA171" s="19"/>
      <c r="AB171" s="19"/>
      <c r="AC171" s="19"/>
      <c r="AD171" s="19"/>
      <c r="AE171" s="19"/>
      <c r="AF171" s="19"/>
      <c r="AG171" s="19"/>
      <c r="AH171" s="19"/>
      <c r="AI171" s="19"/>
      <c r="AJ171" s="19"/>
      <c r="AK171" s="19"/>
      <c r="AL171" s="19"/>
      <c r="AM171" s="19"/>
    </row>
    <row r="172">
      <c r="A172" s="23"/>
      <c r="B172" s="23"/>
      <c r="C172" s="23"/>
      <c r="D172" s="23"/>
      <c r="E172" s="23"/>
      <c r="F172" s="23"/>
      <c r="G172" s="23"/>
      <c r="H172" s="34" t="s">
        <v>777</v>
      </c>
      <c r="I172" s="15" t="str">
        <f t="shared" si="4"/>
        <v>https://youtube.com/embed/EMoNdLRn4Ns</v>
      </c>
      <c r="J172" s="32" t="s">
        <v>779</v>
      </c>
      <c r="K172" s="33" t="s">
        <v>192</v>
      </c>
      <c r="L172" s="34" t="s">
        <v>839</v>
      </c>
      <c r="M172" s="17" t="s">
        <v>114</v>
      </c>
      <c r="N172" s="37"/>
      <c r="O172" s="18"/>
      <c r="P172" s="18"/>
      <c r="Q172" s="18"/>
      <c r="R172" s="18"/>
      <c r="S172" s="19"/>
      <c r="T172" s="21"/>
      <c r="U172" s="21"/>
      <c r="V172" s="19"/>
      <c r="W172" s="19"/>
      <c r="X172" s="19"/>
      <c r="Y172" s="19"/>
      <c r="Z172" s="19"/>
      <c r="AA172" s="19"/>
      <c r="AB172" s="19"/>
      <c r="AC172" s="19"/>
      <c r="AD172" s="19"/>
      <c r="AE172" s="19"/>
      <c r="AF172" s="19"/>
      <c r="AG172" s="19"/>
      <c r="AH172" s="19"/>
      <c r="AI172" s="19"/>
      <c r="AJ172" s="19"/>
      <c r="AK172" s="19"/>
      <c r="AL172" s="19"/>
      <c r="AM172" s="19"/>
    </row>
    <row r="173">
      <c r="A173" s="27"/>
      <c r="B173" s="27"/>
      <c r="C173" s="27"/>
      <c r="D173" s="27"/>
      <c r="E173" s="27"/>
      <c r="F173" s="27"/>
      <c r="G173" s="27"/>
      <c r="H173" s="34" t="s">
        <v>780</v>
      </c>
      <c r="I173" s="15" t="str">
        <f t="shared" si="4"/>
        <v>https://youtube.com/embed/NnSKpz6Itq0</v>
      </c>
      <c r="J173" s="32" t="s">
        <v>781</v>
      </c>
      <c r="K173" s="33" t="s">
        <v>212</v>
      </c>
      <c r="L173" s="34" t="s">
        <v>842</v>
      </c>
      <c r="M173" s="17" t="s">
        <v>114</v>
      </c>
      <c r="N173" s="37"/>
      <c r="O173" s="18"/>
      <c r="P173" s="18"/>
      <c r="Q173" s="18"/>
      <c r="R173" s="18"/>
      <c r="S173" s="19"/>
      <c r="T173" s="21"/>
      <c r="U173" s="21"/>
      <c r="V173" s="19"/>
      <c r="W173" s="19"/>
      <c r="X173" s="19"/>
      <c r="Y173" s="19"/>
      <c r="Z173" s="19"/>
      <c r="AA173" s="19"/>
      <c r="AB173" s="19"/>
      <c r="AC173" s="19"/>
      <c r="AD173" s="19"/>
      <c r="AE173" s="19"/>
      <c r="AF173" s="19"/>
      <c r="AG173" s="19"/>
      <c r="AH173" s="19"/>
      <c r="AI173" s="19"/>
      <c r="AJ173" s="19"/>
      <c r="AK173" s="19"/>
      <c r="AL173" s="19"/>
      <c r="AM173" s="19"/>
    </row>
    <row r="174">
      <c r="A174" s="28" t="s">
        <v>782</v>
      </c>
      <c r="B174" s="26" t="str">
        <f>TRIM(MID(A174, SEARCH("- ", A174) + 2, LEN(A174)))
</f>
        <v>DE LA IMPORTACIÓN A LA VENTA ONLINE: IMPLEMENTA TU TIENDA VIRTUAL DESDE CERO</v>
      </c>
      <c r="C174" s="13" t="s">
        <v>77</v>
      </c>
      <c r="D174" s="13" t="s">
        <v>77</v>
      </c>
      <c r="E174" s="13" t="s">
        <v>77</v>
      </c>
      <c r="F174" s="13" t="s">
        <v>62</v>
      </c>
      <c r="G174" s="13" t="s">
        <v>77</v>
      </c>
      <c r="H174" s="34" t="s">
        <v>784</v>
      </c>
      <c r="I174" s="15" t="str">
        <f t="shared" si="4"/>
        <v>https://youtube.com/embed/u3T1y77D1mE</v>
      </c>
      <c r="J174" s="32" t="s">
        <v>785</v>
      </c>
      <c r="K174" s="33" t="s">
        <v>170</v>
      </c>
      <c r="L174" s="34" t="s">
        <v>846</v>
      </c>
      <c r="M174" s="17" t="s">
        <v>114</v>
      </c>
      <c r="N174" s="56" t="str">
        <f>"COMIENZA DICIENDO QUE ES EL RESUMEN DEL CURSO " &amp; B174 &amp; " DE EDUMIN, LUEGO HAZ EL RESUMEN Y FINALIZA INVITANDO A VER EL RESTO DE RECURSOS DE LAS ZONAS DE EDUMIN."</f>
        <v>COMIENZA DICIENDO QUE ES EL RESUMEN DEL CURSO DE LA IMPORTACIÓN A LA VENTA ONLINE: IMPLEMENTA TU TIENDA VIRTUAL DESDE CERO DE EDUMIN, LUEGO HAZ EL RESUMEN Y FINALIZA INVITANDO A VER EL RESTO DE RECURSOS DE LAS ZONAS DE EDUMIN.</v>
      </c>
      <c r="O174" s="18" t="s">
        <v>747</v>
      </c>
      <c r="P174" s="18" t="s">
        <v>748</v>
      </c>
      <c r="Q174" s="18" t="s">
        <v>749</v>
      </c>
      <c r="R174" s="18">
        <v>30.0</v>
      </c>
      <c r="S174" s="19"/>
      <c r="T174" s="21" t="s">
        <v>122</v>
      </c>
      <c r="U174" s="21" t="s">
        <v>124</v>
      </c>
      <c r="V174" s="19"/>
      <c r="W174" s="19"/>
      <c r="X174" s="19"/>
      <c r="Y174" s="19"/>
      <c r="Z174" s="19"/>
      <c r="AA174" s="19"/>
      <c r="AB174" s="19"/>
      <c r="AC174" s="19"/>
      <c r="AD174" s="19"/>
      <c r="AE174" s="19"/>
      <c r="AF174" s="19"/>
      <c r="AG174" s="19"/>
      <c r="AH174" s="19"/>
      <c r="AI174" s="19"/>
      <c r="AJ174" s="19"/>
      <c r="AK174" s="19"/>
      <c r="AL174" s="19"/>
      <c r="AM174" s="19"/>
    </row>
    <row r="175">
      <c r="A175" s="23"/>
      <c r="B175" s="23"/>
      <c r="C175" s="23"/>
      <c r="D175" s="23"/>
      <c r="E175" s="23"/>
      <c r="F175" s="23"/>
      <c r="G175" s="23"/>
      <c r="H175" s="34" t="s">
        <v>787</v>
      </c>
      <c r="I175" s="15" t="str">
        <f t="shared" si="4"/>
        <v>https://youtube.com/embed/r4dLVZh7oi8</v>
      </c>
      <c r="J175" s="32" t="s">
        <v>788</v>
      </c>
      <c r="K175" s="33" t="s">
        <v>185</v>
      </c>
      <c r="L175" s="34" t="s">
        <v>849</v>
      </c>
      <c r="M175" s="17" t="s">
        <v>114</v>
      </c>
      <c r="N175" s="37"/>
      <c r="O175" s="18"/>
      <c r="P175" s="18"/>
      <c r="Q175" s="18"/>
      <c r="R175" s="18"/>
      <c r="S175" s="19"/>
      <c r="T175" s="21"/>
      <c r="U175" s="21"/>
      <c r="V175" s="19"/>
      <c r="W175" s="19"/>
      <c r="X175" s="19"/>
      <c r="Y175" s="19"/>
      <c r="Z175" s="19"/>
      <c r="AA175" s="19"/>
      <c r="AB175" s="19"/>
      <c r="AC175" s="19"/>
      <c r="AD175" s="19"/>
      <c r="AE175" s="19"/>
      <c r="AF175" s="19"/>
      <c r="AG175" s="19"/>
      <c r="AH175" s="19"/>
      <c r="AI175" s="19"/>
      <c r="AJ175" s="19"/>
      <c r="AK175" s="19"/>
      <c r="AL175" s="19"/>
      <c r="AM175" s="19"/>
    </row>
    <row r="176">
      <c r="A176" s="23"/>
      <c r="B176" s="23"/>
      <c r="C176" s="23"/>
      <c r="D176" s="23"/>
      <c r="E176" s="23"/>
      <c r="F176" s="23"/>
      <c r="G176" s="23"/>
      <c r="H176" s="34" t="s">
        <v>789</v>
      </c>
      <c r="I176" s="15" t="str">
        <f t="shared" si="4"/>
        <v>https://youtube.com/embed/0Yni3p0o1_8</v>
      </c>
      <c r="J176" s="32" t="s">
        <v>790</v>
      </c>
      <c r="K176" s="33" t="s">
        <v>192</v>
      </c>
      <c r="L176" s="34" t="s">
        <v>852</v>
      </c>
      <c r="M176" s="17" t="s">
        <v>114</v>
      </c>
      <c r="N176" s="37"/>
      <c r="O176" s="18"/>
      <c r="P176" s="18"/>
      <c r="Q176" s="18"/>
      <c r="R176" s="18"/>
      <c r="S176" s="19"/>
      <c r="T176" s="21"/>
      <c r="U176" s="21"/>
      <c r="V176" s="19"/>
      <c r="W176" s="19"/>
      <c r="X176" s="19"/>
      <c r="Y176" s="19"/>
      <c r="Z176" s="19"/>
      <c r="AA176" s="19"/>
      <c r="AB176" s="19"/>
      <c r="AC176" s="19"/>
      <c r="AD176" s="19"/>
      <c r="AE176" s="19"/>
      <c r="AF176" s="19"/>
      <c r="AG176" s="19"/>
      <c r="AH176" s="19"/>
      <c r="AI176" s="19"/>
      <c r="AJ176" s="19"/>
      <c r="AK176" s="19"/>
      <c r="AL176" s="19"/>
      <c r="AM176" s="19"/>
    </row>
    <row r="177">
      <c r="A177" s="27"/>
      <c r="B177" s="27"/>
      <c r="C177" s="27"/>
      <c r="D177" s="27"/>
      <c r="E177" s="27"/>
      <c r="F177" s="27"/>
      <c r="G177" s="27"/>
      <c r="H177" s="34" t="s">
        <v>791</v>
      </c>
      <c r="I177" s="15" t="str">
        <f t="shared" si="4"/>
        <v>https://youtube.com/embed/_9ZYtXAN_Fo</v>
      </c>
      <c r="J177" s="32" t="s">
        <v>793</v>
      </c>
      <c r="K177" s="33" t="s">
        <v>212</v>
      </c>
      <c r="L177" s="34" t="s">
        <v>855</v>
      </c>
      <c r="M177" s="17" t="s">
        <v>114</v>
      </c>
      <c r="N177" s="37"/>
      <c r="O177" s="18"/>
      <c r="P177" s="18"/>
      <c r="Q177" s="18"/>
      <c r="R177" s="18"/>
      <c r="S177" s="19"/>
      <c r="T177" s="21"/>
      <c r="U177" s="21"/>
      <c r="V177" s="19"/>
      <c r="W177" s="19"/>
      <c r="X177" s="19"/>
      <c r="Y177" s="19"/>
      <c r="Z177" s="19"/>
      <c r="AA177" s="19"/>
      <c r="AB177" s="19"/>
      <c r="AC177" s="19"/>
      <c r="AD177" s="19"/>
      <c r="AE177" s="19"/>
      <c r="AF177" s="19"/>
      <c r="AG177" s="19"/>
      <c r="AH177" s="19"/>
      <c r="AI177" s="19"/>
      <c r="AJ177" s="19"/>
      <c r="AK177" s="19"/>
      <c r="AL177" s="19"/>
      <c r="AM177" s="19"/>
    </row>
    <row r="178">
      <c r="A178" s="28" t="s">
        <v>794</v>
      </c>
      <c r="B178" s="26" t="str">
        <f>TRIM(MID(A178, SEARCH("- ", A178) + 2, LEN(A178)))
</f>
        <v>CONTROL Y SUPERVISIÓN DE PROCESOS CON SOFTWARE SCADA</v>
      </c>
      <c r="C178" s="13" t="s">
        <v>77</v>
      </c>
      <c r="D178" s="13" t="s">
        <v>77</v>
      </c>
      <c r="E178" s="13" t="s">
        <v>77</v>
      </c>
      <c r="F178" s="70" t="s">
        <v>57</v>
      </c>
      <c r="G178" s="13" t="s">
        <v>77</v>
      </c>
      <c r="H178" s="34" t="s">
        <v>796</v>
      </c>
      <c r="I178" s="15" t="str">
        <f t="shared" si="4"/>
        <v>https://youtube.com/embed/L60EirO0BZo</v>
      </c>
      <c r="J178" s="15" t="s">
        <v>797</v>
      </c>
      <c r="K178" s="33" t="s">
        <v>170</v>
      </c>
      <c r="L178" s="34" t="s">
        <v>859</v>
      </c>
      <c r="M178" s="17" t="s">
        <v>114</v>
      </c>
      <c r="N178" s="60" t="str">
        <f>"COMIENZA DICIENDO QUE ES EL RESUMEN DEL CURSO " &amp; B178 &amp; " DE EDUMIN, LUEGO HAZ EL RESUMEN Y FINALIZA INVITANDO A VER EL RESTO DE RECURSOS DE LAS ZONAS DE EDUMIN."</f>
        <v>COMIENZA DICIENDO QUE ES EL RESUMEN DEL CURSO CONTROL Y SUPERVISIÓN DE PROCESOS CON SOFTWARE SCADA DE EDUMIN, LUEGO HAZ EL RESUMEN Y FINALIZA INVITANDO A VER EL RESTO DE RECURSOS DE LAS ZONAS DE EDUMIN.</v>
      </c>
      <c r="O178" s="18" t="s">
        <v>763</v>
      </c>
      <c r="P178" s="18" t="s">
        <v>764</v>
      </c>
      <c r="Q178" s="18" t="s">
        <v>748</v>
      </c>
      <c r="R178" s="18">
        <v>30.0</v>
      </c>
      <c r="S178" s="19"/>
      <c r="T178" s="21" t="s">
        <v>122</v>
      </c>
      <c r="U178" s="21" t="s">
        <v>124</v>
      </c>
      <c r="V178" s="19"/>
      <c r="W178" s="19"/>
      <c r="X178" s="19"/>
      <c r="Y178" s="19"/>
      <c r="Z178" s="19"/>
      <c r="AA178" s="19"/>
      <c r="AB178" s="19"/>
      <c r="AC178" s="19"/>
      <c r="AD178" s="19"/>
      <c r="AE178" s="19"/>
      <c r="AF178" s="19"/>
      <c r="AG178" s="19"/>
      <c r="AH178" s="19"/>
      <c r="AI178" s="19"/>
      <c r="AJ178" s="19"/>
      <c r="AK178" s="19"/>
      <c r="AL178" s="19"/>
      <c r="AM178" s="19"/>
    </row>
    <row r="179">
      <c r="A179" s="23"/>
      <c r="B179" s="23"/>
      <c r="C179" s="23"/>
      <c r="D179" s="23"/>
      <c r="E179" s="23"/>
      <c r="F179" s="23"/>
      <c r="G179" s="23"/>
      <c r="H179" s="34" t="s">
        <v>798</v>
      </c>
      <c r="I179" s="15" t="str">
        <f t="shared" si="4"/>
        <v>https://youtube.com/embed/EU6VnAfIiJw</v>
      </c>
      <c r="J179" s="15" t="s">
        <v>799</v>
      </c>
      <c r="K179" s="33" t="s">
        <v>185</v>
      </c>
      <c r="L179" s="34" t="s">
        <v>862</v>
      </c>
      <c r="M179" s="17" t="s">
        <v>114</v>
      </c>
      <c r="N179" s="17" t="s">
        <v>510</v>
      </c>
      <c r="O179" s="18"/>
      <c r="P179" s="18"/>
      <c r="Q179" s="18"/>
      <c r="R179" s="18"/>
      <c r="S179" s="19"/>
      <c r="T179" s="21"/>
      <c r="U179" s="21"/>
      <c r="V179" s="19"/>
      <c r="W179" s="19"/>
      <c r="X179" s="19"/>
      <c r="Y179" s="19"/>
      <c r="Z179" s="19"/>
      <c r="AA179" s="19"/>
      <c r="AB179" s="19"/>
      <c r="AC179" s="19"/>
      <c r="AD179" s="19"/>
      <c r="AE179" s="19"/>
      <c r="AF179" s="19"/>
      <c r="AG179" s="19"/>
      <c r="AH179" s="19"/>
      <c r="AI179" s="19"/>
      <c r="AJ179" s="19"/>
      <c r="AK179" s="19"/>
      <c r="AL179" s="19"/>
      <c r="AM179" s="19"/>
    </row>
    <row r="180">
      <c r="A180" s="23"/>
      <c r="B180" s="23"/>
      <c r="C180" s="23"/>
      <c r="D180" s="23"/>
      <c r="E180" s="23"/>
      <c r="F180" s="23"/>
      <c r="G180" s="23"/>
      <c r="H180" s="34" t="s">
        <v>801</v>
      </c>
      <c r="I180" s="15" t="str">
        <f t="shared" si="4"/>
        <v>https://youtube.com/embed/DqKQ0hY2wmA</v>
      </c>
      <c r="J180" s="15" t="s">
        <v>802</v>
      </c>
      <c r="K180" s="33" t="s">
        <v>192</v>
      </c>
      <c r="L180" s="34" t="s">
        <v>865</v>
      </c>
      <c r="M180" s="17" t="s">
        <v>114</v>
      </c>
      <c r="N180" s="18"/>
      <c r="O180" s="18"/>
      <c r="P180" s="18"/>
      <c r="Q180" s="18"/>
      <c r="R180" s="18"/>
      <c r="S180" s="19"/>
      <c r="T180" s="21"/>
      <c r="U180" s="21"/>
      <c r="V180" s="19"/>
      <c r="W180" s="19"/>
      <c r="X180" s="19"/>
      <c r="Y180" s="19"/>
      <c r="Z180" s="19"/>
      <c r="AA180" s="19"/>
      <c r="AB180" s="19"/>
      <c r="AC180" s="19"/>
      <c r="AD180" s="19"/>
      <c r="AE180" s="19"/>
      <c r="AF180" s="19"/>
      <c r="AG180" s="19"/>
      <c r="AH180" s="19"/>
      <c r="AI180" s="19"/>
      <c r="AJ180" s="19"/>
      <c r="AK180" s="19"/>
      <c r="AL180" s="19"/>
      <c r="AM180" s="19"/>
    </row>
    <row r="181">
      <c r="A181" s="27"/>
      <c r="B181" s="27"/>
      <c r="C181" s="27"/>
      <c r="D181" s="27"/>
      <c r="E181" s="27"/>
      <c r="F181" s="27"/>
      <c r="G181" s="27"/>
      <c r="H181" s="34" t="s">
        <v>803</v>
      </c>
      <c r="I181" s="15" t="str">
        <f t="shared" si="4"/>
        <v>https://youtube.com/embed/kafa4hfjkaY</v>
      </c>
      <c r="J181" s="15" t="s">
        <v>804</v>
      </c>
      <c r="K181" s="33" t="s">
        <v>212</v>
      </c>
      <c r="L181" s="34" t="s">
        <v>865</v>
      </c>
      <c r="M181" s="17" t="s">
        <v>114</v>
      </c>
      <c r="N181" s="18"/>
      <c r="O181" s="18"/>
      <c r="P181" s="18"/>
      <c r="Q181" s="18"/>
      <c r="R181" s="18"/>
      <c r="S181" s="19"/>
      <c r="T181" s="21"/>
      <c r="U181" s="21"/>
      <c r="V181" s="19"/>
      <c r="W181" s="19"/>
      <c r="X181" s="19"/>
      <c r="Y181" s="19"/>
      <c r="Z181" s="19"/>
      <c r="AA181" s="19"/>
      <c r="AB181" s="19"/>
      <c r="AC181" s="19"/>
      <c r="AD181" s="19"/>
      <c r="AE181" s="19"/>
      <c r="AF181" s="19"/>
      <c r="AG181" s="19"/>
      <c r="AH181" s="19"/>
      <c r="AI181" s="19"/>
      <c r="AJ181" s="19"/>
      <c r="AK181" s="19"/>
      <c r="AL181" s="19"/>
      <c r="AM181" s="19"/>
    </row>
    <row r="182">
      <c r="A182" s="28" t="s">
        <v>806</v>
      </c>
      <c r="B182" s="26" t="str">
        <f>TRIM(MID(A182, SEARCH("- ", A182) + 2, LEN(A182)))
</f>
        <v>GESTIÓN DE OPERACIONES Y PROCESOS EN LA MINERÍA</v>
      </c>
      <c r="C182" s="13" t="s">
        <v>77</v>
      </c>
      <c r="D182" s="13" t="s">
        <v>77</v>
      </c>
      <c r="E182" s="13" t="s">
        <v>77</v>
      </c>
      <c r="F182" s="70" t="s">
        <v>57</v>
      </c>
      <c r="G182" s="13" t="s">
        <v>77</v>
      </c>
      <c r="H182" s="34" t="s">
        <v>808</v>
      </c>
      <c r="I182" s="15" t="str">
        <f t="shared" si="4"/>
        <v>https://youtube.com/embed/sAjv8SsYdYQ</v>
      </c>
      <c r="J182" s="32" t="s">
        <v>809</v>
      </c>
      <c r="K182" s="33" t="str">
        <f>IFERROR(__xludf.DUMMYFUNCTION("CONCATENATE(""CLASE 0"",REGEXEXTRACT(H182,""[\d]+""))"),"CLASE 01")</f>
        <v>CLASE 01</v>
      </c>
      <c r="L182" s="34" t="s">
        <v>869</v>
      </c>
      <c r="M182" s="17" t="s">
        <v>263</v>
      </c>
      <c r="N182" s="65" t="s">
        <v>510</v>
      </c>
      <c r="O182" s="18" t="s">
        <v>747</v>
      </c>
      <c r="P182" s="18" t="s">
        <v>748</v>
      </c>
      <c r="Q182" s="18" t="s">
        <v>749</v>
      </c>
      <c r="R182" s="18">
        <v>30.0</v>
      </c>
      <c r="S182" s="19"/>
      <c r="T182" s="21" t="s">
        <v>122</v>
      </c>
      <c r="U182" s="21" t="s">
        <v>124</v>
      </c>
      <c r="V182" s="19"/>
      <c r="W182" s="19"/>
      <c r="X182" s="19"/>
      <c r="Y182" s="19"/>
      <c r="Z182" s="19"/>
      <c r="AA182" s="19"/>
      <c r="AB182" s="19"/>
      <c r="AC182" s="19"/>
      <c r="AD182" s="19"/>
      <c r="AE182" s="19"/>
      <c r="AF182" s="19"/>
      <c r="AG182" s="19"/>
      <c r="AH182" s="19"/>
      <c r="AI182" s="19"/>
      <c r="AJ182" s="19"/>
      <c r="AK182" s="19"/>
      <c r="AL182" s="19"/>
      <c r="AM182" s="19"/>
    </row>
    <row r="183">
      <c r="A183" s="23"/>
      <c r="B183" s="23"/>
      <c r="C183" s="23"/>
      <c r="D183" s="23"/>
      <c r="E183" s="23"/>
      <c r="F183" s="23"/>
      <c r="G183" s="23"/>
      <c r="H183" s="34" t="s">
        <v>810</v>
      </c>
      <c r="I183" s="15" t="str">
        <f t="shared" si="4"/>
        <v>https://youtube.com/embed/4OhWNU40hqE</v>
      </c>
      <c r="J183" s="32" t="s">
        <v>811</v>
      </c>
      <c r="K183" s="33" t="str">
        <f>IFERROR(__xludf.DUMMYFUNCTION("CONCATENATE(""CLASE 0"",REGEXEXTRACT(H183,""[\d]+""))"),"CLASE 02")</f>
        <v>CLASE 02</v>
      </c>
      <c r="L183" s="34" t="s">
        <v>875</v>
      </c>
      <c r="M183" s="17" t="s">
        <v>263</v>
      </c>
      <c r="N183" s="23"/>
      <c r="O183" s="18"/>
      <c r="P183" s="18"/>
      <c r="Q183" s="18"/>
      <c r="R183" s="18"/>
      <c r="S183" s="19"/>
      <c r="T183" s="21"/>
      <c r="U183" s="21"/>
      <c r="V183" s="19"/>
      <c r="W183" s="19"/>
      <c r="X183" s="19"/>
      <c r="Y183" s="19"/>
      <c r="Z183" s="19"/>
      <c r="AA183" s="19"/>
      <c r="AB183" s="19"/>
      <c r="AC183" s="19"/>
      <c r="AD183" s="19"/>
      <c r="AE183" s="19"/>
      <c r="AF183" s="19"/>
      <c r="AG183" s="19"/>
      <c r="AH183" s="19"/>
      <c r="AI183" s="19"/>
      <c r="AJ183" s="19"/>
      <c r="AK183" s="19"/>
      <c r="AL183" s="19"/>
      <c r="AM183" s="19"/>
    </row>
    <row r="184">
      <c r="A184" s="23"/>
      <c r="B184" s="23"/>
      <c r="C184" s="23"/>
      <c r="D184" s="23"/>
      <c r="E184" s="23"/>
      <c r="F184" s="23"/>
      <c r="G184" s="23"/>
      <c r="H184" s="34" t="s">
        <v>813</v>
      </c>
      <c r="I184" s="15" t="str">
        <f t="shared" si="4"/>
        <v>https://youtube.com/embed/h9iOVLt3jLI</v>
      </c>
      <c r="J184" s="32" t="s">
        <v>814</v>
      </c>
      <c r="K184" s="33" t="str">
        <f>IFERROR(__xludf.DUMMYFUNCTION("CONCATENATE(""CLASE 0"",REGEXEXTRACT(H184,""[\d]+""))"),"CLASE 03")</f>
        <v>CLASE 03</v>
      </c>
      <c r="L184" s="34" t="s">
        <v>879</v>
      </c>
      <c r="M184" s="17" t="s">
        <v>263</v>
      </c>
      <c r="N184" s="23"/>
      <c r="O184" s="18"/>
      <c r="P184" s="18"/>
      <c r="Q184" s="18"/>
      <c r="R184" s="18"/>
      <c r="S184" s="19"/>
      <c r="T184" s="21"/>
      <c r="U184" s="21"/>
      <c r="V184" s="19"/>
      <c r="W184" s="19"/>
      <c r="X184" s="19"/>
      <c r="Y184" s="19"/>
      <c r="Z184" s="19"/>
      <c r="AA184" s="19"/>
      <c r="AB184" s="19"/>
      <c r="AC184" s="19"/>
      <c r="AD184" s="19"/>
      <c r="AE184" s="19"/>
      <c r="AF184" s="19"/>
      <c r="AG184" s="19"/>
      <c r="AH184" s="19"/>
      <c r="AI184" s="19"/>
      <c r="AJ184" s="19"/>
      <c r="AK184" s="19"/>
      <c r="AL184" s="19"/>
      <c r="AM184" s="19"/>
    </row>
    <row r="185">
      <c r="A185" s="27"/>
      <c r="B185" s="27"/>
      <c r="C185" s="27"/>
      <c r="D185" s="27"/>
      <c r="E185" s="27"/>
      <c r="F185" s="27"/>
      <c r="G185" s="27"/>
      <c r="H185" s="34" t="s">
        <v>815</v>
      </c>
      <c r="I185" s="15" t="str">
        <f t="shared" si="4"/>
        <v>https://youtube.com/embed/IbGloENJvgw</v>
      </c>
      <c r="J185" s="32" t="s">
        <v>816</v>
      </c>
      <c r="K185" s="33" t="str">
        <f>IFERROR(__xludf.DUMMYFUNCTION("CONCATENATE(""CLASE 0"",REGEXEXTRACT(H185,""[\d]+""))"),"CLASE 04")</f>
        <v>CLASE 04</v>
      </c>
      <c r="L185" s="34" t="s">
        <v>882</v>
      </c>
      <c r="M185" s="17" t="s">
        <v>263</v>
      </c>
      <c r="N185" s="27"/>
      <c r="O185" s="18"/>
      <c r="P185" s="18"/>
      <c r="Q185" s="18"/>
      <c r="R185" s="18"/>
      <c r="S185" s="19"/>
      <c r="T185" s="21"/>
      <c r="U185" s="21"/>
      <c r="V185" s="19"/>
      <c r="W185" s="19"/>
      <c r="X185" s="19"/>
      <c r="Y185" s="19"/>
      <c r="Z185" s="19"/>
      <c r="AA185" s="19"/>
      <c r="AB185" s="19"/>
      <c r="AC185" s="19"/>
      <c r="AD185" s="19"/>
      <c r="AE185" s="19"/>
      <c r="AF185" s="19"/>
      <c r="AG185" s="19"/>
      <c r="AH185" s="19"/>
      <c r="AI185" s="19"/>
      <c r="AJ185" s="19"/>
      <c r="AK185" s="19"/>
      <c r="AL185" s="19"/>
      <c r="AM185" s="19"/>
    </row>
    <row r="186">
      <c r="A186" s="26" t="s">
        <v>817</v>
      </c>
      <c r="B186" s="26" t="str">
        <f>TRIM(MID(A186, SEARCH("- ", A186) + 2, LEN(A186)))
</f>
        <v>PIRÁMIDE DE PROCESOS: TÉCNICAS DE CONTROL EN MINERÍA</v>
      </c>
      <c r="C186" s="13" t="s">
        <v>77</v>
      </c>
      <c r="D186" s="13" t="s">
        <v>77</v>
      </c>
      <c r="E186" s="13" t="s">
        <v>77</v>
      </c>
      <c r="F186" s="70" t="s">
        <v>57</v>
      </c>
      <c r="G186" s="13" t="s">
        <v>77</v>
      </c>
      <c r="H186" s="34" t="s">
        <v>819</v>
      </c>
      <c r="I186" s="15" t="str">
        <f t="shared" si="4"/>
        <v>https://youtube.com/embed/dbwp_nmBYWk</v>
      </c>
      <c r="J186" s="32" t="s">
        <v>820</v>
      </c>
      <c r="K186" s="33" t="str">
        <f>IFERROR(__xludf.DUMMYFUNCTION("CONCATENATE(""CLASE 0"",REGEXEXTRACT(H186,""[\d]+""))"),"CLASE 01")</f>
        <v>CLASE 01</v>
      </c>
      <c r="L186" s="34" t="s">
        <v>886</v>
      </c>
      <c r="M186" s="17" t="s">
        <v>263</v>
      </c>
      <c r="N186" s="65" t="s">
        <v>510</v>
      </c>
      <c r="O186" s="18" t="s">
        <v>747</v>
      </c>
      <c r="P186" s="18" t="s">
        <v>748</v>
      </c>
      <c r="Q186" s="18" t="s">
        <v>749</v>
      </c>
      <c r="R186" s="18">
        <v>30.0</v>
      </c>
      <c r="S186" s="19"/>
      <c r="T186" s="21" t="s">
        <v>122</v>
      </c>
      <c r="U186" s="21" t="s">
        <v>124</v>
      </c>
      <c r="V186" s="19"/>
      <c r="W186" s="19"/>
      <c r="X186" s="19"/>
      <c r="Y186" s="19"/>
      <c r="Z186" s="19"/>
      <c r="AA186" s="19"/>
      <c r="AB186" s="19"/>
      <c r="AC186" s="19"/>
      <c r="AD186" s="19"/>
      <c r="AE186" s="19"/>
      <c r="AF186" s="19"/>
      <c r="AG186" s="19"/>
      <c r="AH186" s="19"/>
      <c r="AI186" s="19"/>
      <c r="AJ186" s="19"/>
      <c r="AK186" s="19"/>
      <c r="AL186" s="19"/>
      <c r="AM186" s="19"/>
    </row>
    <row r="187">
      <c r="A187" s="23"/>
      <c r="B187" s="23"/>
      <c r="C187" s="23"/>
      <c r="D187" s="23"/>
      <c r="E187" s="23"/>
      <c r="F187" s="23"/>
      <c r="G187" s="23"/>
      <c r="H187" s="34" t="s">
        <v>821</v>
      </c>
      <c r="I187" s="15" t="str">
        <f t="shared" si="4"/>
        <v>https://youtube.com/embed/r8Tpp4XEuuc</v>
      </c>
      <c r="J187" s="32" t="s">
        <v>822</v>
      </c>
      <c r="K187" s="33" t="str">
        <f>IFERROR(__xludf.DUMMYFUNCTION("CONCATENATE(""CLASE 0"",REGEXEXTRACT(H187,""[\d]+""))"),"CLASE 02")</f>
        <v>CLASE 02</v>
      </c>
      <c r="L187" s="34" t="s">
        <v>890</v>
      </c>
      <c r="M187" s="17" t="s">
        <v>263</v>
      </c>
      <c r="N187" s="23"/>
      <c r="O187" s="18"/>
      <c r="P187" s="18"/>
      <c r="Q187" s="18"/>
      <c r="R187" s="18"/>
      <c r="S187" s="19"/>
      <c r="T187" s="21"/>
      <c r="U187" s="21"/>
      <c r="V187" s="19"/>
      <c r="W187" s="19"/>
      <c r="X187" s="19"/>
      <c r="Y187" s="19"/>
      <c r="Z187" s="19"/>
      <c r="AA187" s="19"/>
      <c r="AB187" s="19"/>
      <c r="AC187" s="19"/>
      <c r="AD187" s="19"/>
      <c r="AE187" s="19"/>
      <c r="AF187" s="19"/>
      <c r="AG187" s="19"/>
      <c r="AH187" s="19"/>
      <c r="AI187" s="19"/>
      <c r="AJ187" s="19"/>
      <c r="AK187" s="19"/>
      <c r="AL187" s="19"/>
      <c r="AM187" s="19"/>
    </row>
    <row r="188">
      <c r="A188" s="23"/>
      <c r="B188" s="23"/>
      <c r="C188" s="23"/>
      <c r="D188" s="23"/>
      <c r="E188" s="23"/>
      <c r="F188" s="23"/>
      <c r="G188" s="23"/>
      <c r="H188" s="34" t="s">
        <v>824</v>
      </c>
      <c r="I188" s="15" t="str">
        <f t="shared" si="4"/>
        <v>https://youtube.com/embed/OVcI4-VLfFs</v>
      </c>
      <c r="J188" s="32" t="s">
        <v>825</v>
      </c>
      <c r="K188" s="33" t="str">
        <f>IFERROR(__xludf.DUMMYFUNCTION("CONCATENATE(""CLASE 0"",REGEXEXTRACT(H188,""[\d]+""))"),"CLASE 03")</f>
        <v>CLASE 03</v>
      </c>
      <c r="L188" s="34" t="s">
        <v>893</v>
      </c>
      <c r="M188" s="17" t="s">
        <v>263</v>
      </c>
      <c r="N188" s="23"/>
      <c r="O188" s="18"/>
      <c r="P188" s="18"/>
      <c r="Q188" s="18"/>
      <c r="R188" s="18"/>
      <c r="S188" s="19"/>
      <c r="T188" s="21"/>
      <c r="U188" s="21"/>
      <c r="V188" s="19"/>
      <c r="W188" s="19"/>
      <c r="X188" s="19"/>
      <c r="Y188" s="19"/>
      <c r="Z188" s="19"/>
      <c r="AA188" s="19"/>
      <c r="AB188" s="19"/>
      <c r="AC188" s="19"/>
      <c r="AD188" s="19"/>
      <c r="AE188" s="19"/>
      <c r="AF188" s="19"/>
      <c r="AG188" s="19"/>
      <c r="AH188" s="19"/>
      <c r="AI188" s="19"/>
      <c r="AJ188" s="19"/>
      <c r="AK188" s="19"/>
      <c r="AL188" s="19"/>
      <c r="AM188" s="19"/>
    </row>
    <row r="189">
      <c r="A189" s="27"/>
      <c r="B189" s="27"/>
      <c r="C189" s="27"/>
      <c r="D189" s="27"/>
      <c r="E189" s="27"/>
      <c r="F189" s="27"/>
      <c r="G189" s="27"/>
      <c r="H189" s="34" t="s">
        <v>827</v>
      </c>
      <c r="I189" s="15" t="str">
        <f t="shared" si="4"/>
        <v>https://youtube.com/embed/RLMviTPK33o</v>
      </c>
      <c r="J189" s="32" t="s">
        <v>828</v>
      </c>
      <c r="K189" s="33" t="str">
        <f>IFERROR(__xludf.DUMMYFUNCTION("CONCATENATE(""CLASE 0"",REGEXEXTRACT(H189,""[\d]+""))"),"CLASE 04")</f>
        <v>CLASE 04</v>
      </c>
      <c r="L189" s="34" t="s">
        <v>895</v>
      </c>
      <c r="M189" s="17" t="s">
        <v>263</v>
      </c>
      <c r="N189" s="27"/>
      <c r="O189" s="18"/>
      <c r="P189" s="18"/>
      <c r="Q189" s="18"/>
      <c r="R189" s="18"/>
      <c r="S189" s="19"/>
      <c r="T189" s="21"/>
      <c r="U189" s="21"/>
      <c r="V189" s="19"/>
      <c r="W189" s="19"/>
      <c r="X189" s="19"/>
      <c r="Y189" s="19"/>
      <c r="Z189" s="19"/>
      <c r="AA189" s="19"/>
      <c r="AB189" s="19"/>
      <c r="AC189" s="19"/>
      <c r="AD189" s="19"/>
      <c r="AE189" s="19"/>
      <c r="AF189" s="19"/>
      <c r="AG189" s="19"/>
      <c r="AH189" s="19"/>
      <c r="AI189" s="19"/>
      <c r="AJ189" s="19"/>
      <c r="AK189" s="19"/>
      <c r="AL189" s="19"/>
      <c r="AM189" s="19"/>
    </row>
    <row r="190">
      <c r="A190" s="26" t="s">
        <v>898</v>
      </c>
      <c r="B190" s="26" t="str">
        <f>TRIM(MID(A190, SEARCH("- ", A190) + 2, LEN(A190)))
</f>
        <v>PROCESO DE OPTIMIZACIÓN DEL MANTENIMIENTO A PARTIR DEL USO DE TÉCNICAS DE LA INDUSTRIA 4.0</v>
      </c>
      <c r="C190" s="13" t="s">
        <v>77</v>
      </c>
      <c r="D190" s="13" t="s">
        <v>77</v>
      </c>
      <c r="E190" s="13" t="s">
        <v>77</v>
      </c>
      <c r="F190" s="70" t="s">
        <v>57</v>
      </c>
      <c r="G190" s="13" t="s">
        <v>77</v>
      </c>
      <c r="H190" s="57" t="s">
        <v>900</v>
      </c>
      <c r="I190" s="15" t="str">
        <f t="shared" si="4"/>
        <v>https://youtube.com/embed/4Kpqdz8Nrnk</v>
      </c>
      <c r="J190" s="32" t="s">
        <v>832</v>
      </c>
      <c r="K190" s="33" t="str">
        <f>IFERROR(__xludf.DUMMYFUNCTION("CONCATENATE(""CLASE 0"",REGEXEXTRACT(H190,""[\d]+""))"),"CLASE 01")</f>
        <v>CLASE 01</v>
      </c>
      <c r="L190" s="34" t="s">
        <v>904</v>
      </c>
      <c r="M190" s="17" t="s">
        <v>510</v>
      </c>
      <c r="N190" s="65" t="s">
        <v>510</v>
      </c>
      <c r="O190" s="18" t="s">
        <v>747</v>
      </c>
      <c r="P190" s="18" t="s">
        <v>748</v>
      </c>
      <c r="Q190" s="18" t="s">
        <v>749</v>
      </c>
      <c r="R190" s="18">
        <v>30.0</v>
      </c>
      <c r="S190" s="19"/>
      <c r="T190" s="21" t="s">
        <v>122</v>
      </c>
      <c r="U190" s="21" t="s">
        <v>124</v>
      </c>
      <c r="V190" s="19"/>
      <c r="W190" s="19"/>
      <c r="X190" s="19"/>
      <c r="Y190" s="19"/>
      <c r="Z190" s="19"/>
      <c r="AA190" s="19"/>
      <c r="AB190" s="19"/>
      <c r="AC190" s="19"/>
      <c r="AD190" s="19"/>
      <c r="AE190" s="19"/>
      <c r="AF190" s="19"/>
      <c r="AG190" s="19"/>
      <c r="AH190" s="19"/>
      <c r="AI190" s="19"/>
      <c r="AJ190" s="19"/>
      <c r="AK190" s="19"/>
      <c r="AL190" s="19"/>
      <c r="AM190" s="19"/>
    </row>
    <row r="191">
      <c r="A191" s="23"/>
      <c r="B191" s="23"/>
      <c r="C191" s="23"/>
      <c r="D191" s="23"/>
      <c r="E191" s="23"/>
      <c r="F191" s="23"/>
      <c r="G191" s="23"/>
      <c r="H191" s="34" t="s">
        <v>834</v>
      </c>
      <c r="I191" s="15" t="str">
        <f t="shared" si="4"/>
        <v>https://youtube.com/embed/hxP4e5ibcwA</v>
      </c>
      <c r="J191" s="32" t="s">
        <v>835</v>
      </c>
      <c r="K191" s="33" t="str">
        <f>IFERROR(__xludf.DUMMYFUNCTION("CONCATENATE(""CLASE 0"",REGEXEXTRACT(H191,""[\d]+""))"),"CLASE 02")</f>
        <v>CLASE 02</v>
      </c>
      <c r="L191" s="34" t="s">
        <v>907</v>
      </c>
      <c r="M191" s="17" t="s">
        <v>510</v>
      </c>
      <c r="N191" s="23"/>
      <c r="O191" s="18"/>
      <c r="P191" s="18"/>
      <c r="Q191" s="18"/>
      <c r="R191" s="18"/>
      <c r="S191" s="19"/>
      <c r="T191" s="21"/>
      <c r="U191" s="21"/>
      <c r="V191" s="19"/>
      <c r="W191" s="19"/>
      <c r="X191" s="19"/>
      <c r="Y191" s="19"/>
      <c r="Z191" s="19"/>
      <c r="AA191" s="19"/>
      <c r="AB191" s="19"/>
      <c r="AC191" s="19"/>
      <c r="AD191" s="19"/>
      <c r="AE191" s="19"/>
      <c r="AF191" s="19"/>
      <c r="AG191" s="19"/>
      <c r="AH191" s="19"/>
      <c r="AI191" s="19"/>
      <c r="AJ191" s="19"/>
      <c r="AK191" s="19"/>
      <c r="AL191" s="19"/>
      <c r="AM191" s="19"/>
    </row>
    <row r="192">
      <c r="A192" s="23"/>
      <c r="B192" s="23"/>
      <c r="C192" s="23"/>
      <c r="D192" s="23"/>
      <c r="E192" s="23"/>
      <c r="F192" s="23"/>
      <c r="G192" s="23"/>
      <c r="H192" s="34" t="s">
        <v>837</v>
      </c>
      <c r="I192" s="15" t="str">
        <f t="shared" si="4"/>
        <v>https://youtube.com/embed/cMNjuR9axxI</v>
      </c>
      <c r="J192" s="32" t="s">
        <v>838</v>
      </c>
      <c r="K192" s="33" t="str">
        <f>IFERROR(__xludf.DUMMYFUNCTION("CONCATENATE(""CLASE 0"",REGEXEXTRACT(H192,""[\d]+""))"),"CLASE 03")</f>
        <v>CLASE 03</v>
      </c>
      <c r="L192" s="34" t="s">
        <v>909</v>
      </c>
      <c r="M192" s="17" t="s">
        <v>510</v>
      </c>
      <c r="N192" s="23"/>
      <c r="O192" s="18"/>
      <c r="P192" s="18"/>
      <c r="Q192" s="18"/>
      <c r="R192" s="18"/>
      <c r="S192" s="19"/>
      <c r="T192" s="21"/>
      <c r="U192" s="21"/>
      <c r="V192" s="19"/>
      <c r="W192" s="19"/>
      <c r="X192" s="19"/>
      <c r="Y192" s="19"/>
      <c r="Z192" s="19"/>
      <c r="AA192" s="19"/>
      <c r="AB192" s="19"/>
      <c r="AC192" s="19"/>
      <c r="AD192" s="19"/>
      <c r="AE192" s="19"/>
      <c r="AF192" s="19"/>
      <c r="AG192" s="19"/>
      <c r="AH192" s="19"/>
      <c r="AI192" s="19"/>
      <c r="AJ192" s="19"/>
      <c r="AK192" s="19"/>
      <c r="AL192" s="19"/>
      <c r="AM192" s="19"/>
    </row>
    <row r="193">
      <c r="A193" s="27"/>
      <c r="B193" s="27"/>
      <c r="C193" s="27"/>
      <c r="D193" s="27"/>
      <c r="E193" s="27"/>
      <c r="F193" s="27"/>
      <c r="G193" s="27"/>
      <c r="H193" s="34" t="s">
        <v>840</v>
      </c>
      <c r="I193" s="15" t="str">
        <f t="shared" si="4"/>
        <v>https://youtube.com/embed/ag4TFSMV1KQ</v>
      </c>
      <c r="J193" s="32" t="s">
        <v>841</v>
      </c>
      <c r="K193" s="33" t="str">
        <f>IFERROR(__xludf.DUMMYFUNCTION("CONCATENATE(""CLASE 0"",REGEXEXTRACT(H193,""[\d]+""))"),"CLASE 04")</f>
        <v>CLASE 04</v>
      </c>
      <c r="L193" s="34" t="s">
        <v>914</v>
      </c>
      <c r="M193" s="17" t="s">
        <v>510</v>
      </c>
      <c r="N193" s="27"/>
      <c r="O193" s="18"/>
      <c r="P193" s="18"/>
      <c r="Q193" s="18"/>
      <c r="R193" s="18"/>
      <c r="S193" s="19"/>
      <c r="T193" s="21"/>
      <c r="U193" s="21"/>
      <c r="V193" s="19"/>
      <c r="W193" s="19"/>
      <c r="X193" s="19"/>
      <c r="Y193" s="19"/>
      <c r="Z193" s="19"/>
      <c r="AA193" s="19"/>
      <c r="AB193" s="19"/>
      <c r="AC193" s="19"/>
      <c r="AD193" s="19"/>
      <c r="AE193" s="19"/>
      <c r="AF193" s="19"/>
      <c r="AG193" s="19"/>
      <c r="AH193" s="19"/>
      <c r="AI193" s="19"/>
      <c r="AJ193" s="19"/>
      <c r="AK193" s="19"/>
      <c r="AL193" s="19"/>
      <c r="AM193" s="19"/>
    </row>
    <row r="194">
      <c r="A194" s="28" t="s">
        <v>843</v>
      </c>
      <c r="B194" s="26" t="str">
        <f>TRIM(MID(A194, SEARCH("- ", A194) + 2, LEN(A194)))
</f>
        <v>SISTEMAS INTEGRADOS PARA LA GESTIÓN DE MANTENIMIENTO</v>
      </c>
      <c r="C194" s="13" t="s">
        <v>77</v>
      </c>
      <c r="D194" s="13" t="s">
        <v>77</v>
      </c>
      <c r="E194" s="13" t="s">
        <v>77</v>
      </c>
      <c r="F194" s="70" t="s">
        <v>57</v>
      </c>
      <c r="G194" s="13" t="s">
        <v>77</v>
      </c>
      <c r="H194" s="57" t="s">
        <v>919</v>
      </c>
      <c r="I194" s="15" t="str">
        <f t="shared" si="4"/>
        <v>https://youtube.com/embed/HqH0V36anrM</v>
      </c>
      <c r="J194" s="32" t="s">
        <v>845</v>
      </c>
      <c r="K194" s="33" t="s">
        <v>170</v>
      </c>
      <c r="L194" s="49" t="s">
        <v>922</v>
      </c>
      <c r="M194" s="17" t="s">
        <v>114</v>
      </c>
      <c r="N194" s="18"/>
      <c r="O194" s="18" t="s">
        <v>747</v>
      </c>
      <c r="P194" s="18" t="s">
        <v>748</v>
      </c>
      <c r="Q194" s="18" t="s">
        <v>749</v>
      </c>
      <c r="R194" s="18">
        <v>30.0</v>
      </c>
      <c r="S194" s="19"/>
      <c r="T194" s="21" t="s">
        <v>122</v>
      </c>
      <c r="U194" s="21" t="s">
        <v>124</v>
      </c>
      <c r="V194" s="19"/>
      <c r="W194" s="19"/>
      <c r="X194" s="19"/>
      <c r="Y194" s="19"/>
      <c r="Z194" s="19"/>
      <c r="AA194" s="19"/>
      <c r="AB194" s="19"/>
      <c r="AC194" s="19"/>
      <c r="AD194" s="19"/>
      <c r="AE194" s="19"/>
      <c r="AF194" s="19"/>
      <c r="AG194" s="19"/>
      <c r="AH194" s="19"/>
      <c r="AI194" s="19"/>
      <c r="AJ194" s="19"/>
      <c r="AK194" s="19"/>
      <c r="AL194" s="19"/>
      <c r="AM194" s="19"/>
    </row>
    <row r="195">
      <c r="A195" s="23"/>
      <c r="B195" s="23"/>
      <c r="C195" s="23"/>
      <c r="D195" s="23"/>
      <c r="E195" s="23"/>
      <c r="F195" s="23"/>
      <c r="G195" s="23"/>
      <c r="H195" s="34" t="s">
        <v>847</v>
      </c>
      <c r="I195" s="15" t="str">
        <f t="shared" si="4"/>
        <v>https://youtube.com/embed/Ipo2ozYYxTI</v>
      </c>
      <c r="J195" s="32" t="s">
        <v>848</v>
      </c>
      <c r="K195" s="33" t="s">
        <v>185</v>
      </c>
      <c r="L195" s="49" t="s">
        <v>924</v>
      </c>
      <c r="M195" s="17" t="s">
        <v>114</v>
      </c>
      <c r="N195" s="18"/>
      <c r="O195" s="18"/>
      <c r="P195" s="18"/>
      <c r="Q195" s="18"/>
      <c r="R195" s="18"/>
      <c r="S195" s="19"/>
      <c r="T195" s="21"/>
      <c r="U195" s="21"/>
      <c r="V195" s="19"/>
      <c r="W195" s="19"/>
      <c r="X195" s="19"/>
      <c r="Y195" s="19"/>
      <c r="Z195" s="19"/>
      <c r="AA195" s="19"/>
      <c r="AB195" s="19"/>
      <c r="AC195" s="19"/>
      <c r="AD195" s="19"/>
      <c r="AE195" s="19"/>
      <c r="AF195" s="19"/>
      <c r="AG195" s="19"/>
      <c r="AH195" s="19"/>
      <c r="AI195" s="19"/>
      <c r="AJ195" s="19"/>
      <c r="AK195" s="19"/>
      <c r="AL195" s="19"/>
      <c r="AM195" s="19"/>
    </row>
    <row r="196">
      <c r="A196" s="23"/>
      <c r="B196" s="23"/>
      <c r="C196" s="23"/>
      <c r="D196" s="23"/>
      <c r="E196" s="23"/>
      <c r="F196" s="23"/>
      <c r="G196" s="23"/>
      <c r="H196" s="57" t="s">
        <v>926</v>
      </c>
      <c r="I196" s="15" t="str">
        <f t="shared" si="4"/>
        <v>https://youtube.com/embed/6d8l7sW5AQA</v>
      </c>
      <c r="J196" s="32" t="s">
        <v>851</v>
      </c>
      <c r="K196" s="33" t="s">
        <v>192</v>
      </c>
      <c r="L196" s="49" t="s">
        <v>930</v>
      </c>
      <c r="M196" s="17" t="s">
        <v>114</v>
      </c>
      <c r="N196" s="18"/>
      <c r="O196" s="18"/>
      <c r="P196" s="18"/>
      <c r="Q196" s="18"/>
      <c r="R196" s="18"/>
      <c r="S196" s="19"/>
      <c r="T196" s="21"/>
      <c r="U196" s="21"/>
      <c r="V196" s="19"/>
      <c r="W196" s="19"/>
      <c r="X196" s="19"/>
      <c r="Y196" s="19"/>
      <c r="Z196" s="19"/>
      <c r="AA196" s="19"/>
      <c r="AB196" s="19"/>
      <c r="AC196" s="19"/>
      <c r="AD196" s="19"/>
      <c r="AE196" s="19"/>
      <c r="AF196" s="19"/>
      <c r="AG196" s="19"/>
      <c r="AH196" s="19"/>
      <c r="AI196" s="19"/>
      <c r="AJ196" s="19"/>
      <c r="AK196" s="19"/>
      <c r="AL196" s="19"/>
      <c r="AM196" s="19"/>
    </row>
    <row r="197">
      <c r="A197" s="27"/>
      <c r="B197" s="27"/>
      <c r="C197" s="27"/>
      <c r="D197" s="27"/>
      <c r="E197" s="27"/>
      <c r="F197" s="27"/>
      <c r="G197" s="27"/>
      <c r="H197" s="34" t="s">
        <v>853</v>
      </c>
      <c r="I197" s="15" t="str">
        <f t="shared" si="4"/>
        <v>https://youtube.com/embed/eVnHbhhQJkI</v>
      </c>
      <c r="J197" s="32" t="s">
        <v>854</v>
      </c>
      <c r="K197" s="33" t="s">
        <v>212</v>
      </c>
      <c r="L197" s="49" t="s">
        <v>933</v>
      </c>
      <c r="M197" s="17" t="s">
        <v>114</v>
      </c>
      <c r="N197" s="18"/>
      <c r="O197" s="18"/>
      <c r="P197" s="18"/>
      <c r="Q197" s="18"/>
      <c r="R197" s="18"/>
      <c r="S197" s="19"/>
      <c r="T197" s="21"/>
      <c r="U197" s="21"/>
      <c r="V197" s="19"/>
      <c r="W197" s="19"/>
      <c r="X197" s="19"/>
      <c r="Y197" s="19"/>
      <c r="Z197" s="19"/>
      <c r="AA197" s="19"/>
      <c r="AB197" s="19"/>
      <c r="AC197" s="19"/>
      <c r="AD197" s="19"/>
      <c r="AE197" s="19"/>
      <c r="AF197" s="19"/>
      <c r="AG197" s="19"/>
      <c r="AH197" s="19"/>
      <c r="AI197" s="19"/>
      <c r="AJ197" s="19"/>
      <c r="AK197" s="19"/>
      <c r="AL197" s="19"/>
      <c r="AM197" s="19"/>
    </row>
    <row r="198">
      <c r="A198" s="76" t="s">
        <v>856</v>
      </c>
      <c r="B198" s="26" t="str">
        <f>TRIM(MID(A198, SEARCH("- ", A198) + 2, LEN(A198)))
</f>
        <v>ESTÁNDARES Y SISTEMA DE CALIDAD DEL MANTENIMIENTO</v>
      </c>
      <c r="C198" s="13" t="s">
        <v>77</v>
      </c>
      <c r="D198" s="13" t="s">
        <v>77</v>
      </c>
      <c r="E198" s="13" t="s">
        <v>77</v>
      </c>
      <c r="F198" s="70" t="s">
        <v>57</v>
      </c>
      <c r="G198" s="13" t="s">
        <v>77</v>
      </c>
      <c r="H198" s="75" t="s">
        <v>857</v>
      </c>
      <c r="I198" s="15" t="str">
        <f t="shared" si="4"/>
        <v>https://youtube.com/embed/RNWy1Iqjy4U</v>
      </c>
      <c r="J198" s="32" t="s">
        <v>858</v>
      </c>
      <c r="K198" s="33" t="s">
        <v>170</v>
      </c>
      <c r="L198" s="49" t="s">
        <v>937</v>
      </c>
      <c r="M198" s="17" t="s">
        <v>114</v>
      </c>
      <c r="N198" s="18"/>
      <c r="O198" s="18" t="s">
        <v>747</v>
      </c>
      <c r="P198" s="18" t="s">
        <v>748</v>
      </c>
      <c r="Q198" s="18" t="s">
        <v>749</v>
      </c>
      <c r="R198" s="18">
        <v>30.0</v>
      </c>
      <c r="S198" s="19"/>
      <c r="T198" s="21" t="s">
        <v>122</v>
      </c>
      <c r="U198" s="21" t="s">
        <v>124</v>
      </c>
      <c r="V198" s="19"/>
      <c r="W198" s="19"/>
      <c r="X198" s="19"/>
      <c r="Y198" s="19"/>
      <c r="Z198" s="19"/>
      <c r="AA198" s="19"/>
      <c r="AB198" s="19"/>
      <c r="AC198" s="19"/>
      <c r="AD198" s="19"/>
      <c r="AE198" s="19"/>
      <c r="AF198" s="19"/>
      <c r="AG198" s="19"/>
      <c r="AH198" s="19"/>
      <c r="AI198" s="19"/>
      <c r="AJ198" s="19"/>
      <c r="AK198" s="19"/>
      <c r="AL198" s="19"/>
      <c r="AM198" s="19"/>
    </row>
    <row r="199">
      <c r="A199" s="23"/>
      <c r="B199" s="23"/>
      <c r="C199" s="23"/>
      <c r="D199" s="23"/>
      <c r="E199" s="23"/>
      <c r="F199" s="23"/>
      <c r="G199" s="23"/>
      <c r="H199" s="57" t="s">
        <v>940</v>
      </c>
      <c r="I199" s="15" t="str">
        <f t="shared" si="4"/>
        <v>https://youtube.com/embed/DJpYHQkhy_A</v>
      </c>
      <c r="J199" s="32" t="s">
        <v>861</v>
      </c>
      <c r="K199" s="33" t="s">
        <v>185</v>
      </c>
      <c r="L199" s="49" t="s">
        <v>942</v>
      </c>
      <c r="M199" s="17" t="s">
        <v>114</v>
      </c>
      <c r="N199" s="18"/>
      <c r="O199" s="18"/>
      <c r="P199" s="18"/>
      <c r="Q199" s="18"/>
      <c r="R199" s="18"/>
      <c r="S199" s="19"/>
      <c r="T199" s="21"/>
      <c r="U199" s="21"/>
      <c r="V199" s="19"/>
      <c r="W199" s="19"/>
      <c r="X199" s="19"/>
      <c r="Y199" s="19"/>
      <c r="Z199" s="19"/>
      <c r="AA199" s="19"/>
      <c r="AB199" s="19"/>
      <c r="AC199" s="19"/>
      <c r="AD199" s="19"/>
      <c r="AE199" s="19"/>
      <c r="AF199" s="19"/>
      <c r="AG199" s="19"/>
      <c r="AH199" s="19"/>
      <c r="AI199" s="19"/>
      <c r="AJ199" s="19"/>
      <c r="AK199" s="19"/>
      <c r="AL199" s="19"/>
      <c r="AM199" s="19"/>
    </row>
    <row r="200">
      <c r="A200" s="23"/>
      <c r="B200" s="23"/>
      <c r="C200" s="23"/>
      <c r="D200" s="23"/>
      <c r="E200" s="23"/>
      <c r="F200" s="23"/>
      <c r="G200" s="23"/>
      <c r="H200" s="57" t="s">
        <v>944</v>
      </c>
      <c r="I200" s="15" t="str">
        <f t="shared" si="4"/>
        <v>https://youtube.com/embed/4B16cOWl0Ws</v>
      </c>
      <c r="J200" s="32" t="s">
        <v>864</v>
      </c>
      <c r="K200" s="33" t="s">
        <v>192</v>
      </c>
      <c r="L200" s="49" t="s">
        <v>947</v>
      </c>
      <c r="M200" s="17" t="s">
        <v>114</v>
      </c>
      <c r="N200" s="18"/>
      <c r="O200" s="18"/>
      <c r="P200" s="18"/>
      <c r="Q200" s="18"/>
      <c r="R200" s="18"/>
      <c r="S200" s="19"/>
      <c r="T200" s="21"/>
      <c r="U200" s="21"/>
      <c r="V200" s="19"/>
      <c r="W200" s="19"/>
      <c r="X200" s="19"/>
      <c r="Y200" s="19"/>
      <c r="Z200" s="19"/>
      <c r="AA200" s="19"/>
      <c r="AB200" s="19"/>
      <c r="AC200" s="19"/>
      <c r="AD200" s="19"/>
      <c r="AE200" s="19"/>
      <c r="AF200" s="19"/>
      <c r="AG200" s="19"/>
      <c r="AH200" s="19"/>
      <c r="AI200" s="19"/>
      <c r="AJ200" s="19"/>
      <c r="AK200" s="19"/>
      <c r="AL200" s="19"/>
      <c r="AM200" s="19"/>
    </row>
    <row r="201">
      <c r="A201" s="27"/>
      <c r="B201" s="27"/>
      <c r="C201" s="27"/>
      <c r="D201" s="27"/>
      <c r="E201" s="27"/>
      <c r="F201" s="27"/>
      <c r="G201" s="27"/>
      <c r="H201" s="16"/>
      <c r="I201" s="63"/>
      <c r="J201" s="63"/>
      <c r="K201" s="33"/>
      <c r="L201" s="49"/>
      <c r="M201" s="17" t="s">
        <v>114</v>
      </c>
      <c r="N201" s="18"/>
      <c r="O201" s="18"/>
      <c r="P201" s="18"/>
      <c r="Q201" s="18"/>
      <c r="R201" s="18"/>
      <c r="S201" s="19"/>
      <c r="T201" s="21"/>
      <c r="U201" s="21"/>
      <c r="V201" s="19"/>
      <c r="W201" s="19"/>
      <c r="X201" s="19"/>
      <c r="Y201" s="19"/>
      <c r="Z201" s="19"/>
      <c r="AA201" s="19"/>
      <c r="AB201" s="19"/>
      <c r="AC201" s="19"/>
      <c r="AD201" s="19"/>
      <c r="AE201" s="19"/>
      <c r="AF201" s="19"/>
      <c r="AG201" s="19"/>
      <c r="AH201" s="19"/>
      <c r="AI201" s="19"/>
      <c r="AJ201" s="19"/>
      <c r="AK201" s="19"/>
      <c r="AL201" s="19"/>
      <c r="AM201" s="19"/>
    </row>
    <row r="202">
      <c r="A202" s="28" t="s">
        <v>866</v>
      </c>
      <c r="B202" s="26" t="str">
        <f>TRIM(MID(A202, SEARCH("- ", A202) + 2, LEN(A202)))
</f>
        <v>DOCUMENTACIÓN Y TRÁMITES ADUANEROS</v>
      </c>
      <c r="C202" s="13" t="s">
        <v>77</v>
      </c>
      <c r="D202" s="13" t="s">
        <v>77</v>
      </c>
      <c r="E202" s="13" t="s">
        <v>77</v>
      </c>
      <c r="F202" s="13" t="s">
        <v>63</v>
      </c>
      <c r="G202" s="13" t="s">
        <v>77</v>
      </c>
      <c r="H202" s="57" t="s">
        <v>951</v>
      </c>
      <c r="I202" s="15" t="str">
        <f t="shared" ref="I202:I232" si="5">SUBSTITUTE(LEFT(MID(H202,FIND("https",H202),99),FIND("?",H202)-FIND("https",H202)), "/live/", "/embed/")</f>
        <v>https://youtube.com/embed/PvFPYZou8-g</v>
      </c>
      <c r="J202" s="15" t="s">
        <v>868</v>
      </c>
      <c r="K202" s="33" t="s">
        <v>170</v>
      </c>
      <c r="L202" s="34" t="s">
        <v>956</v>
      </c>
      <c r="M202" s="17" t="s">
        <v>114</v>
      </c>
      <c r="N202" s="56" t="str">
        <f>"COMIENZA DICIENDO QUE ES EL RESUMEN DEL CURSO " &amp; B202 &amp; " DE EDUMIN, LUEGO HAZ EL RESUMEN Y FINALIZA INVITANDO A VER EL RESTO DE RECURSOS DE LAS ZONAS DE EDUMIN."</f>
        <v>COMIENZA DICIENDO QUE ES EL RESUMEN DEL CURSO DOCUMENTACIÓN Y TRÁMITES ADUANEROS DE EDUMIN, LUEGO HAZ EL RESUMEN Y FINALIZA INVITANDO A VER EL RESTO DE RECURSOS DE LAS ZONAS DE EDUMIN.</v>
      </c>
      <c r="O202" s="18" t="s">
        <v>870</v>
      </c>
      <c r="P202" s="18" t="s">
        <v>871</v>
      </c>
      <c r="Q202" s="18" t="s">
        <v>872</v>
      </c>
      <c r="R202" s="18">
        <v>30.0</v>
      </c>
      <c r="S202" s="19"/>
      <c r="T202" s="21" t="s">
        <v>122</v>
      </c>
      <c r="U202" s="21" t="s">
        <v>124</v>
      </c>
      <c r="V202" s="19"/>
      <c r="W202" s="19"/>
      <c r="X202" s="19"/>
      <c r="Y202" s="19"/>
      <c r="Z202" s="19"/>
      <c r="AA202" s="19"/>
      <c r="AB202" s="19"/>
      <c r="AC202" s="19"/>
      <c r="AD202" s="19"/>
      <c r="AE202" s="19"/>
      <c r="AF202" s="19"/>
      <c r="AG202" s="19"/>
      <c r="AH202" s="19"/>
      <c r="AI202" s="19"/>
      <c r="AJ202" s="19"/>
      <c r="AK202" s="19"/>
      <c r="AL202" s="19"/>
      <c r="AM202" s="19"/>
    </row>
    <row r="203">
      <c r="A203" s="23"/>
      <c r="B203" s="23"/>
      <c r="C203" s="23"/>
      <c r="D203" s="23"/>
      <c r="E203" s="23"/>
      <c r="F203" s="23"/>
      <c r="G203" s="23"/>
      <c r="H203" s="34" t="s">
        <v>873</v>
      </c>
      <c r="I203" s="15" t="str">
        <f t="shared" si="5"/>
        <v>https://youtube.com/embed/MAy_-7UKQKI</v>
      </c>
      <c r="J203" s="15" t="s">
        <v>874</v>
      </c>
      <c r="K203" s="33" t="s">
        <v>185</v>
      </c>
      <c r="L203" s="34" t="s">
        <v>959</v>
      </c>
      <c r="M203" s="17" t="s">
        <v>114</v>
      </c>
      <c r="N203" s="37"/>
      <c r="O203" s="18"/>
      <c r="P203" s="18"/>
      <c r="Q203" s="18"/>
      <c r="R203" s="18"/>
      <c r="S203" s="19"/>
      <c r="T203" s="21"/>
      <c r="U203" s="21"/>
      <c r="V203" s="19"/>
      <c r="W203" s="19"/>
      <c r="X203" s="19"/>
      <c r="Y203" s="19"/>
      <c r="Z203" s="19"/>
      <c r="AA203" s="19"/>
      <c r="AB203" s="19"/>
      <c r="AC203" s="19"/>
      <c r="AD203" s="19"/>
      <c r="AE203" s="19"/>
      <c r="AF203" s="19"/>
      <c r="AG203" s="19"/>
      <c r="AH203" s="19"/>
      <c r="AI203" s="19"/>
      <c r="AJ203" s="19"/>
      <c r="AK203" s="19"/>
      <c r="AL203" s="19"/>
      <c r="AM203" s="19"/>
    </row>
    <row r="204">
      <c r="A204" s="23"/>
      <c r="B204" s="23"/>
      <c r="C204" s="23"/>
      <c r="D204" s="23"/>
      <c r="E204" s="23"/>
      <c r="F204" s="23"/>
      <c r="G204" s="23"/>
      <c r="H204" s="34" t="s">
        <v>876</v>
      </c>
      <c r="I204" s="15" t="str">
        <f t="shared" si="5"/>
        <v>https://youtube.com/embed/HXX6l6MavAE</v>
      </c>
      <c r="J204" s="15" t="s">
        <v>877</v>
      </c>
      <c r="K204" s="33" t="s">
        <v>192</v>
      </c>
      <c r="L204" s="34" t="s">
        <v>961</v>
      </c>
      <c r="M204" s="17" t="s">
        <v>114</v>
      </c>
      <c r="N204" s="37"/>
      <c r="O204" s="18"/>
      <c r="P204" s="18"/>
      <c r="Q204" s="18"/>
      <c r="R204" s="18"/>
      <c r="S204" s="19"/>
      <c r="T204" s="21"/>
      <c r="U204" s="21"/>
      <c r="V204" s="19"/>
      <c r="W204" s="19"/>
      <c r="X204" s="19"/>
      <c r="Y204" s="19"/>
      <c r="Z204" s="19"/>
      <c r="AA204" s="19"/>
      <c r="AB204" s="19"/>
      <c r="AC204" s="19"/>
      <c r="AD204" s="19"/>
      <c r="AE204" s="19"/>
      <c r="AF204" s="19"/>
      <c r="AG204" s="19"/>
      <c r="AH204" s="19"/>
      <c r="AI204" s="19"/>
      <c r="AJ204" s="19"/>
      <c r="AK204" s="19"/>
      <c r="AL204" s="19"/>
      <c r="AM204" s="19"/>
    </row>
    <row r="205">
      <c r="A205" s="27"/>
      <c r="B205" s="27"/>
      <c r="C205" s="27"/>
      <c r="D205" s="27"/>
      <c r="E205" s="27"/>
      <c r="F205" s="27"/>
      <c r="G205" s="27"/>
      <c r="H205" s="34" t="s">
        <v>878</v>
      </c>
      <c r="I205" s="15" t="str">
        <f t="shared" si="5"/>
        <v>https://youtube.com/embed/Xyo9Znb6iP4</v>
      </c>
      <c r="J205" s="15" t="s">
        <v>880</v>
      </c>
      <c r="K205" s="33" t="s">
        <v>212</v>
      </c>
      <c r="L205" s="34" t="s">
        <v>964</v>
      </c>
      <c r="M205" s="17" t="s">
        <v>114</v>
      </c>
      <c r="N205" s="37"/>
      <c r="O205" s="18"/>
      <c r="P205" s="18"/>
      <c r="Q205" s="18"/>
      <c r="R205" s="18"/>
      <c r="S205" s="19"/>
      <c r="T205" s="21"/>
      <c r="U205" s="21"/>
      <c r="V205" s="19"/>
      <c r="W205" s="19"/>
      <c r="X205" s="19"/>
      <c r="Y205" s="19"/>
      <c r="Z205" s="19"/>
      <c r="AA205" s="19"/>
      <c r="AB205" s="19"/>
      <c r="AC205" s="19"/>
      <c r="AD205" s="19"/>
      <c r="AE205" s="19"/>
      <c r="AF205" s="19"/>
      <c r="AG205" s="19"/>
      <c r="AH205" s="19"/>
      <c r="AI205" s="19"/>
      <c r="AJ205" s="19"/>
      <c r="AK205" s="19"/>
      <c r="AL205" s="19"/>
      <c r="AM205" s="19"/>
    </row>
    <row r="206">
      <c r="A206" s="28" t="s">
        <v>881</v>
      </c>
      <c r="B206" s="26" t="str">
        <f>TRIM(MID(A206, SEARCH("- ", A206) + 2, LEN(A206)))
</f>
        <v>REVISIÓN DE PROVEEDORES PARA EVITAR ESTAFAS EN IMPORTACIONES CHINAS</v>
      </c>
      <c r="C206" s="13" t="s">
        <v>77</v>
      </c>
      <c r="D206" s="13" t="s">
        <v>77</v>
      </c>
      <c r="E206" s="13" t="s">
        <v>77</v>
      </c>
      <c r="F206" s="13" t="s">
        <v>63</v>
      </c>
      <c r="G206" s="13" t="s">
        <v>77</v>
      </c>
      <c r="H206" s="34" t="s">
        <v>883</v>
      </c>
      <c r="I206" s="15" t="str">
        <f t="shared" si="5"/>
        <v>https://youtube.com/embed/jowPe8soOHI</v>
      </c>
      <c r="J206" s="32" t="s">
        <v>884</v>
      </c>
      <c r="K206" s="33" t="s">
        <v>170</v>
      </c>
      <c r="L206" s="34" t="s">
        <v>968</v>
      </c>
      <c r="M206" s="17" t="s">
        <v>114</v>
      </c>
      <c r="N206" s="56" t="str">
        <f>"COMIENZA DICIENDO QUE ES EL RESUMEN DEL CURSO " &amp; B206 &amp; " DE EDUMIN, LUEGO HAZ EL RESUMEN Y FINALIZA INVITANDO A VER EL RESTO DE RECURSOS DE LAS ZONAS DE EDUMIN."</f>
        <v>COMIENZA DICIENDO QUE ES EL RESUMEN DEL CURSO REVISIÓN DE PROVEEDORES PARA EVITAR ESTAFAS EN IMPORTACIONES CHINAS DE EDUMIN, LUEGO HAZ EL RESUMEN Y FINALIZA INVITANDO A VER EL RESTO DE RECURSOS DE LAS ZONAS DE EDUMIN.</v>
      </c>
      <c r="O206" s="18" t="s">
        <v>870</v>
      </c>
      <c r="P206" s="18" t="s">
        <v>871</v>
      </c>
      <c r="Q206" s="18" t="s">
        <v>872</v>
      </c>
      <c r="R206" s="18">
        <v>30.0</v>
      </c>
      <c r="S206" s="19"/>
      <c r="T206" s="21" t="s">
        <v>122</v>
      </c>
      <c r="U206" s="21" t="s">
        <v>124</v>
      </c>
      <c r="V206" s="19"/>
      <c r="W206" s="19"/>
      <c r="X206" s="19"/>
      <c r="Y206" s="19"/>
      <c r="Z206" s="19"/>
      <c r="AA206" s="19"/>
      <c r="AB206" s="19"/>
      <c r="AC206" s="19"/>
      <c r="AD206" s="19"/>
      <c r="AE206" s="19"/>
      <c r="AF206" s="19"/>
      <c r="AG206" s="19"/>
      <c r="AH206" s="19"/>
      <c r="AI206" s="19"/>
      <c r="AJ206" s="19"/>
      <c r="AK206" s="19"/>
      <c r="AL206" s="19"/>
      <c r="AM206" s="19"/>
    </row>
    <row r="207">
      <c r="A207" s="23"/>
      <c r="B207" s="23"/>
      <c r="C207" s="23"/>
      <c r="D207" s="23"/>
      <c r="E207" s="23"/>
      <c r="F207" s="23"/>
      <c r="G207" s="23"/>
      <c r="H207" s="34" t="s">
        <v>885</v>
      </c>
      <c r="I207" s="15" t="str">
        <f t="shared" si="5"/>
        <v>https://youtube.com/embed/ubqOmwBq9D4</v>
      </c>
      <c r="J207" s="32" t="s">
        <v>887</v>
      </c>
      <c r="K207" s="33" t="s">
        <v>185</v>
      </c>
      <c r="L207" s="34" t="s">
        <v>971</v>
      </c>
      <c r="M207" s="17" t="s">
        <v>114</v>
      </c>
      <c r="N207" s="37"/>
      <c r="O207" s="18"/>
      <c r="P207" s="18"/>
      <c r="Q207" s="18"/>
      <c r="R207" s="18"/>
      <c r="S207" s="19"/>
      <c r="T207" s="21"/>
      <c r="U207" s="21"/>
      <c r="V207" s="19"/>
      <c r="W207" s="19"/>
      <c r="X207" s="19"/>
      <c r="Y207" s="19"/>
      <c r="Z207" s="19"/>
      <c r="AA207" s="19"/>
      <c r="AB207" s="19"/>
      <c r="AC207" s="19"/>
      <c r="AD207" s="19"/>
      <c r="AE207" s="19"/>
      <c r="AF207" s="19"/>
      <c r="AG207" s="19"/>
      <c r="AH207" s="19"/>
      <c r="AI207" s="19"/>
      <c r="AJ207" s="19"/>
      <c r="AK207" s="19"/>
      <c r="AL207" s="19"/>
      <c r="AM207" s="19"/>
    </row>
    <row r="208">
      <c r="A208" s="23"/>
      <c r="B208" s="23"/>
      <c r="C208" s="23"/>
      <c r="D208" s="23"/>
      <c r="E208" s="23"/>
      <c r="F208" s="23"/>
      <c r="G208" s="23"/>
      <c r="H208" s="34" t="s">
        <v>888</v>
      </c>
      <c r="I208" s="15" t="str">
        <f t="shared" si="5"/>
        <v>https://youtube.com/embed/_upwR4wVXrE</v>
      </c>
      <c r="J208" s="32" t="s">
        <v>889</v>
      </c>
      <c r="K208" s="33" t="s">
        <v>192</v>
      </c>
      <c r="L208" s="34" t="s">
        <v>974</v>
      </c>
      <c r="M208" s="17" t="s">
        <v>114</v>
      </c>
      <c r="N208" s="37"/>
      <c r="O208" s="18"/>
      <c r="P208" s="18"/>
      <c r="Q208" s="18"/>
      <c r="R208" s="18"/>
      <c r="S208" s="19"/>
      <c r="T208" s="21"/>
      <c r="U208" s="21"/>
      <c r="V208" s="19"/>
      <c r="W208" s="19"/>
      <c r="X208" s="19"/>
      <c r="Y208" s="19"/>
      <c r="Z208" s="19"/>
      <c r="AA208" s="19"/>
      <c r="AB208" s="19"/>
      <c r="AC208" s="19"/>
      <c r="AD208" s="19"/>
      <c r="AE208" s="19"/>
      <c r="AF208" s="19"/>
      <c r="AG208" s="19"/>
      <c r="AH208" s="19"/>
      <c r="AI208" s="19"/>
      <c r="AJ208" s="19"/>
      <c r="AK208" s="19"/>
      <c r="AL208" s="19"/>
      <c r="AM208" s="19"/>
    </row>
    <row r="209">
      <c r="A209" s="27"/>
      <c r="B209" s="27"/>
      <c r="C209" s="27"/>
      <c r="D209" s="27"/>
      <c r="E209" s="27"/>
      <c r="F209" s="27"/>
      <c r="G209" s="27"/>
      <c r="H209" s="34" t="s">
        <v>891</v>
      </c>
      <c r="I209" s="15" t="str">
        <f t="shared" si="5"/>
        <v>https://youtube.com/embed/1xk5ezPw1Eg</v>
      </c>
      <c r="J209" s="32" t="s">
        <v>892</v>
      </c>
      <c r="K209" s="33" t="s">
        <v>212</v>
      </c>
      <c r="L209" s="34" t="s">
        <v>974</v>
      </c>
      <c r="M209" s="17" t="s">
        <v>114</v>
      </c>
      <c r="N209" s="37"/>
      <c r="O209" s="18"/>
      <c r="P209" s="18"/>
      <c r="Q209" s="18"/>
      <c r="R209" s="18"/>
      <c r="S209" s="19"/>
      <c r="T209" s="21"/>
      <c r="U209" s="21"/>
      <c r="V209" s="19"/>
      <c r="W209" s="19"/>
      <c r="X209" s="19"/>
      <c r="Y209" s="19"/>
      <c r="Z209" s="19"/>
      <c r="AA209" s="19"/>
      <c r="AB209" s="19"/>
      <c r="AC209" s="19"/>
      <c r="AD209" s="19"/>
      <c r="AE209" s="19"/>
      <c r="AF209" s="19"/>
      <c r="AG209" s="19"/>
      <c r="AH209" s="19"/>
      <c r="AI209" s="19"/>
      <c r="AJ209" s="19"/>
      <c r="AK209" s="19"/>
      <c r="AL209" s="19"/>
      <c r="AM209" s="19"/>
    </row>
    <row r="210">
      <c r="A210" s="28" t="s">
        <v>894</v>
      </c>
      <c r="B210" s="26" t="str">
        <f>TRIM(MID(A210, SEARCH("- ", A210) + 2, LEN(A210)))
</f>
        <v>PLANIFICACIÓN DE RIESGOS PARA IMPORTACIÓN Y EXPORTACIÓN</v>
      </c>
      <c r="C210" s="13" t="s">
        <v>77</v>
      </c>
      <c r="D210" s="13" t="s">
        <v>77</v>
      </c>
      <c r="E210" s="13" t="s">
        <v>77</v>
      </c>
      <c r="F210" s="13" t="s">
        <v>63</v>
      </c>
      <c r="G210" s="13" t="s">
        <v>77</v>
      </c>
      <c r="H210" s="34" t="s">
        <v>896</v>
      </c>
      <c r="I210" s="15" t="str">
        <f t="shared" si="5"/>
        <v>https://youtube.com/embed/YazKLBF-B6c</v>
      </c>
      <c r="J210" s="15" t="s">
        <v>897</v>
      </c>
      <c r="K210" s="33" t="s">
        <v>170</v>
      </c>
      <c r="L210" s="34" t="s">
        <v>457</v>
      </c>
      <c r="M210" s="17" t="s">
        <v>114</v>
      </c>
      <c r="N210" s="56" t="str">
        <f>"COMIENZA DICIENDO QUE ES EL RESUMEN DEL CURSO " &amp; B210 &amp; " DE EDUMIN, LUEGO HAZ EL RESUMEN Y FINALIZA INVITANDO A VER EL RESTO DE RECURSOS DE LAS ZONAS DE EDUMIN."</f>
        <v>COMIENZA DICIENDO QUE ES EL RESUMEN DEL CURSO PLANIFICACIÓN DE RIESGOS PARA IMPORTACIÓN Y EXPORTACIÓN DE EDUMIN, LUEGO HAZ EL RESUMEN Y FINALIZA INVITANDO A VER EL RESTO DE RECURSOS DE LAS ZONAS DE EDUMIN.</v>
      </c>
      <c r="O210" s="18" t="s">
        <v>870</v>
      </c>
      <c r="P210" s="18" t="s">
        <v>871</v>
      </c>
      <c r="Q210" s="18" t="s">
        <v>872</v>
      </c>
      <c r="R210" s="18">
        <v>30.0</v>
      </c>
      <c r="S210" s="19"/>
      <c r="T210" s="21" t="s">
        <v>122</v>
      </c>
      <c r="U210" s="21" t="s">
        <v>124</v>
      </c>
      <c r="V210" s="19"/>
      <c r="W210" s="19"/>
      <c r="X210" s="19"/>
      <c r="Y210" s="19"/>
      <c r="Z210" s="19"/>
      <c r="AA210" s="19"/>
      <c r="AB210" s="19"/>
      <c r="AC210" s="19"/>
      <c r="AD210" s="19"/>
      <c r="AE210" s="19"/>
      <c r="AF210" s="19"/>
      <c r="AG210" s="19"/>
      <c r="AH210" s="19"/>
      <c r="AI210" s="19"/>
      <c r="AJ210" s="19"/>
      <c r="AK210" s="19"/>
      <c r="AL210" s="19"/>
      <c r="AM210" s="19"/>
    </row>
    <row r="211">
      <c r="A211" s="23"/>
      <c r="B211" s="23"/>
      <c r="C211" s="23"/>
      <c r="D211" s="23"/>
      <c r="E211" s="23"/>
      <c r="F211" s="23"/>
      <c r="G211" s="23"/>
      <c r="H211" s="34" t="s">
        <v>899</v>
      </c>
      <c r="I211" s="15" t="str">
        <f t="shared" si="5"/>
        <v>https://youtube.com/embed/kEV7rBs1oSw</v>
      </c>
      <c r="J211" s="15" t="s">
        <v>901</v>
      </c>
      <c r="K211" s="33" t="s">
        <v>185</v>
      </c>
      <c r="L211" s="34" t="s">
        <v>981</v>
      </c>
      <c r="M211" s="17" t="s">
        <v>114</v>
      </c>
      <c r="N211" s="37"/>
      <c r="O211" s="18"/>
      <c r="P211" s="18"/>
      <c r="Q211" s="18"/>
      <c r="R211" s="18"/>
      <c r="S211" s="19"/>
      <c r="T211" s="21"/>
      <c r="U211" s="21"/>
      <c r="V211" s="19"/>
      <c r="W211" s="19"/>
      <c r="X211" s="19"/>
      <c r="Y211" s="19"/>
      <c r="Z211" s="19"/>
      <c r="AA211" s="19"/>
      <c r="AB211" s="19"/>
      <c r="AC211" s="19"/>
      <c r="AD211" s="19"/>
      <c r="AE211" s="19"/>
      <c r="AF211" s="19"/>
      <c r="AG211" s="19"/>
      <c r="AH211" s="19"/>
      <c r="AI211" s="19"/>
      <c r="AJ211" s="19"/>
      <c r="AK211" s="19"/>
      <c r="AL211" s="19"/>
      <c r="AM211" s="19"/>
    </row>
    <row r="212">
      <c r="A212" s="23"/>
      <c r="B212" s="23"/>
      <c r="C212" s="23"/>
      <c r="D212" s="23"/>
      <c r="E212" s="23"/>
      <c r="F212" s="23"/>
      <c r="G212" s="23"/>
      <c r="H212" s="34" t="s">
        <v>902</v>
      </c>
      <c r="I212" s="15" t="str">
        <f t="shared" si="5"/>
        <v>https://youtube.com/embed/5d8QoNhWdcE</v>
      </c>
      <c r="J212" s="15" t="s">
        <v>903</v>
      </c>
      <c r="K212" s="33" t="s">
        <v>192</v>
      </c>
      <c r="L212" s="34" t="s">
        <v>983</v>
      </c>
      <c r="M212" s="17" t="s">
        <v>114</v>
      </c>
      <c r="N212" s="37"/>
      <c r="O212" s="18"/>
      <c r="P212" s="18"/>
      <c r="Q212" s="18"/>
      <c r="R212" s="18"/>
      <c r="S212" s="19"/>
      <c r="T212" s="21"/>
      <c r="U212" s="21"/>
      <c r="V212" s="19"/>
      <c r="W212" s="19"/>
      <c r="X212" s="19"/>
      <c r="Y212" s="19"/>
      <c r="Z212" s="19"/>
      <c r="AA212" s="19"/>
      <c r="AB212" s="19"/>
      <c r="AC212" s="19"/>
      <c r="AD212" s="19"/>
      <c r="AE212" s="19"/>
      <c r="AF212" s="19"/>
      <c r="AG212" s="19"/>
      <c r="AH212" s="19"/>
      <c r="AI212" s="19"/>
      <c r="AJ212" s="19"/>
      <c r="AK212" s="19"/>
      <c r="AL212" s="19"/>
      <c r="AM212" s="19"/>
    </row>
    <row r="213">
      <c r="A213" s="27"/>
      <c r="B213" s="27"/>
      <c r="C213" s="27"/>
      <c r="D213" s="27"/>
      <c r="E213" s="27"/>
      <c r="F213" s="27"/>
      <c r="G213" s="27"/>
      <c r="H213" s="34" t="s">
        <v>905</v>
      </c>
      <c r="I213" s="15" t="str">
        <f t="shared" si="5"/>
        <v>https://youtube.com/embed/WTVLLcJ_EmY</v>
      </c>
      <c r="J213" s="15" t="s">
        <v>906</v>
      </c>
      <c r="K213" s="33" t="s">
        <v>212</v>
      </c>
      <c r="L213" s="34" t="s">
        <v>986</v>
      </c>
      <c r="M213" s="17" t="s">
        <v>114</v>
      </c>
      <c r="N213" s="37"/>
      <c r="O213" s="18"/>
      <c r="P213" s="18"/>
      <c r="Q213" s="18"/>
      <c r="R213" s="18"/>
      <c r="S213" s="19"/>
      <c r="T213" s="21"/>
      <c r="U213" s="21"/>
      <c r="V213" s="19"/>
      <c r="W213" s="19"/>
      <c r="X213" s="19"/>
      <c r="Y213" s="19"/>
      <c r="Z213" s="19"/>
      <c r="AA213" s="19"/>
      <c r="AB213" s="19"/>
      <c r="AC213" s="19"/>
      <c r="AD213" s="19"/>
      <c r="AE213" s="19"/>
      <c r="AF213" s="19"/>
      <c r="AG213" s="19"/>
      <c r="AH213" s="19"/>
      <c r="AI213" s="19"/>
      <c r="AJ213" s="19"/>
      <c r="AK213" s="19"/>
      <c r="AL213" s="19"/>
      <c r="AM213" s="19"/>
    </row>
    <row r="214">
      <c r="A214" s="28" t="s">
        <v>908</v>
      </c>
      <c r="B214" s="26" t="str">
        <f>TRIM(MID(A214, SEARCH("- ", A214) + 2, LEN(A214)))
</f>
        <v>CONTROL DE CALIDAD EN PROCESOS MINEROS</v>
      </c>
      <c r="C214" s="13" t="s">
        <v>77</v>
      </c>
      <c r="D214" s="13" t="s">
        <v>77</v>
      </c>
      <c r="E214" s="13" t="s">
        <v>77</v>
      </c>
      <c r="F214" s="70" t="s">
        <v>57</v>
      </c>
      <c r="G214" s="13" t="s">
        <v>77</v>
      </c>
      <c r="H214" s="34" t="s">
        <v>910</v>
      </c>
      <c r="I214" s="15" t="str">
        <f t="shared" si="5"/>
        <v>https://youtube.com/embed/8HNkh1_ur08</v>
      </c>
      <c r="J214" s="32" t="s">
        <v>911</v>
      </c>
      <c r="K214" s="33" t="str">
        <f>IFERROR(__xludf.DUMMYFUNCTION("CONCATENATE(""CLASE 0"",REGEXEXTRACT(H214,""[\d]+""))"),"CLASE 01")</f>
        <v>CLASE 01</v>
      </c>
      <c r="L214" s="34" t="s">
        <v>990</v>
      </c>
      <c r="M214" s="17" t="s">
        <v>510</v>
      </c>
      <c r="N214" s="65" t="s">
        <v>510</v>
      </c>
      <c r="O214" s="18" t="s">
        <v>912</v>
      </c>
      <c r="P214" s="18" t="s">
        <v>913</v>
      </c>
      <c r="Q214" s="18" t="s">
        <v>871</v>
      </c>
      <c r="R214" s="18">
        <v>30.0</v>
      </c>
      <c r="S214" s="19"/>
      <c r="T214" s="21" t="s">
        <v>122</v>
      </c>
      <c r="U214" s="21" t="s">
        <v>124</v>
      </c>
      <c r="V214" s="19"/>
      <c r="W214" s="19"/>
      <c r="X214" s="19"/>
      <c r="Y214" s="19"/>
      <c r="Z214" s="19"/>
      <c r="AA214" s="19"/>
      <c r="AB214" s="19"/>
      <c r="AC214" s="19"/>
      <c r="AD214" s="19"/>
      <c r="AE214" s="19"/>
      <c r="AF214" s="19"/>
      <c r="AG214" s="19"/>
      <c r="AH214" s="19"/>
      <c r="AI214" s="19"/>
      <c r="AJ214" s="19"/>
      <c r="AK214" s="19"/>
      <c r="AL214" s="19"/>
      <c r="AM214" s="19"/>
    </row>
    <row r="215">
      <c r="A215" s="23"/>
      <c r="B215" s="23"/>
      <c r="C215" s="23"/>
      <c r="D215" s="23"/>
      <c r="E215" s="23"/>
      <c r="F215" s="23"/>
      <c r="G215" s="23"/>
      <c r="H215" s="34" t="s">
        <v>915</v>
      </c>
      <c r="I215" s="15" t="str">
        <f t="shared" si="5"/>
        <v>https://youtube.com/embed/g8BtcRFryq4</v>
      </c>
      <c r="J215" s="32" t="s">
        <v>916</v>
      </c>
      <c r="K215" s="33" t="str">
        <f>IFERROR(__xludf.DUMMYFUNCTION("CONCATENATE(""CLASE 0"",REGEXEXTRACT(H215,""[\d]+""))"),"CLASE 02")</f>
        <v>CLASE 02</v>
      </c>
      <c r="L215" s="34" t="s">
        <v>993</v>
      </c>
      <c r="M215" s="17" t="s">
        <v>510</v>
      </c>
      <c r="N215" s="23"/>
      <c r="O215" s="18"/>
      <c r="P215" s="18"/>
      <c r="Q215" s="18"/>
      <c r="R215" s="18"/>
      <c r="S215" s="19"/>
      <c r="T215" s="21"/>
      <c r="U215" s="21"/>
      <c r="V215" s="19"/>
      <c r="W215" s="19"/>
      <c r="X215" s="19"/>
      <c r="Y215" s="19"/>
      <c r="Z215" s="19"/>
      <c r="AA215" s="19"/>
      <c r="AB215" s="19"/>
      <c r="AC215" s="19"/>
      <c r="AD215" s="19"/>
      <c r="AE215" s="19"/>
      <c r="AF215" s="19"/>
      <c r="AG215" s="19"/>
      <c r="AH215" s="19"/>
      <c r="AI215" s="19"/>
      <c r="AJ215" s="19"/>
      <c r="AK215" s="19"/>
      <c r="AL215" s="19"/>
      <c r="AM215" s="19"/>
    </row>
    <row r="216">
      <c r="A216" s="23"/>
      <c r="B216" s="23"/>
      <c r="C216" s="23"/>
      <c r="D216" s="23"/>
      <c r="E216" s="23"/>
      <c r="F216" s="23"/>
      <c r="G216" s="23"/>
      <c r="H216" s="34" t="s">
        <v>917</v>
      </c>
      <c r="I216" s="15" t="str">
        <f t="shared" si="5"/>
        <v>https://youtube.com/embed/N2dw5g-MX6U</v>
      </c>
      <c r="J216" s="32" t="s">
        <v>918</v>
      </c>
      <c r="K216" s="33" t="str">
        <f>IFERROR(__xludf.DUMMYFUNCTION("CONCATENATE(""CLASE 0"",REGEXEXTRACT(H216,""[\d]+""))"),"CLASE 03")</f>
        <v>CLASE 03</v>
      </c>
      <c r="L216" s="34" t="s">
        <v>995</v>
      </c>
      <c r="M216" s="17" t="s">
        <v>510</v>
      </c>
      <c r="N216" s="23"/>
      <c r="O216" s="18"/>
      <c r="P216" s="18"/>
      <c r="Q216" s="18"/>
      <c r="R216" s="18"/>
      <c r="S216" s="19"/>
      <c r="T216" s="21"/>
      <c r="U216" s="21"/>
      <c r="V216" s="19"/>
      <c r="W216" s="19"/>
      <c r="X216" s="19"/>
      <c r="Y216" s="19"/>
      <c r="Z216" s="19"/>
      <c r="AA216" s="19"/>
      <c r="AB216" s="19"/>
      <c r="AC216" s="19"/>
      <c r="AD216" s="19"/>
      <c r="AE216" s="19"/>
      <c r="AF216" s="19"/>
      <c r="AG216" s="19"/>
      <c r="AH216" s="19"/>
      <c r="AI216" s="19"/>
      <c r="AJ216" s="19"/>
      <c r="AK216" s="19"/>
      <c r="AL216" s="19"/>
      <c r="AM216" s="19"/>
    </row>
    <row r="217">
      <c r="A217" s="27"/>
      <c r="B217" s="27"/>
      <c r="C217" s="27"/>
      <c r="D217" s="27"/>
      <c r="E217" s="27"/>
      <c r="F217" s="27"/>
      <c r="G217" s="27"/>
      <c r="H217" s="34" t="s">
        <v>920</v>
      </c>
      <c r="I217" s="15" t="str">
        <f t="shared" si="5"/>
        <v>https://youtube.com/embed/64mH22Iho8g</v>
      </c>
      <c r="J217" s="32" t="s">
        <v>921</v>
      </c>
      <c r="K217" s="33" t="str">
        <f>IFERROR(__xludf.DUMMYFUNCTION("CONCATENATE(""CLASE 0"",REGEXEXTRACT(H217,""[\d]+""))"),"CLASE 04")</f>
        <v>CLASE 04</v>
      </c>
      <c r="L217" s="34" t="s">
        <v>998</v>
      </c>
      <c r="M217" s="17" t="s">
        <v>510</v>
      </c>
      <c r="N217" s="27"/>
      <c r="O217" s="18"/>
      <c r="P217" s="18"/>
      <c r="Q217" s="18"/>
      <c r="R217" s="18"/>
      <c r="S217" s="19"/>
      <c r="T217" s="21"/>
      <c r="U217" s="21"/>
      <c r="V217" s="19"/>
      <c r="W217" s="19"/>
      <c r="X217" s="19"/>
      <c r="Y217" s="19"/>
      <c r="Z217" s="19"/>
      <c r="AA217" s="19"/>
      <c r="AB217" s="19"/>
      <c r="AC217" s="19"/>
      <c r="AD217" s="19"/>
      <c r="AE217" s="19"/>
      <c r="AF217" s="19"/>
      <c r="AG217" s="19"/>
      <c r="AH217" s="19"/>
      <c r="AI217" s="19"/>
      <c r="AJ217" s="19"/>
      <c r="AK217" s="19"/>
      <c r="AL217" s="19"/>
      <c r="AM217" s="19"/>
    </row>
    <row r="218">
      <c r="A218" s="28" t="s">
        <v>923</v>
      </c>
      <c r="B218" s="26" t="str">
        <f>TRIM(MID(A218, SEARCH("- ", A218) + 2, LEN(A218)))
</f>
        <v>MONITOREO Y CONTROL EN LA OPERACIÓN DE PLANTAS MINERAS</v>
      </c>
      <c r="C218" s="13" t="s">
        <v>77</v>
      </c>
      <c r="D218" s="13" t="s">
        <v>77</v>
      </c>
      <c r="E218" s="13" t="s">
        <v>77</v>
      </c>
      <c r="F218" s="70" t="s">
        <v>57</v>
      </c>
      <c r="G218" s="13" t="s">
        <v>77</v>
      </c>
      <c r="H218" s="34" t="s">
        <v>925</v>
      </c>
      <c r="I218" s="15" t="str">
        <f t="shared" si="5"/>
        <v>https://youtube.com/embed/2cqmD4ObYew</v>
      </c>
      <c r="J218" s="32" t="s">
        <v>927</v>
      </c>
      <c r="K218" s="33" t="str">
        <f>IFERROR(__xludf.DUMMYFUNCTION("CONCATENATE(""CLASE 0"",REGEXEXTRACT(H218,""[\d]+""))"),"CLASE 01")</f>
        <v>CLASE 01</v>
      </c>
      <c r="L218" s="34" t="s">
        <v>1002</v>
      </c>
      <c r="M218" s="17" t="s">
        <v>263</v>
      </c>
      <c r="N218" s="65" t="s">
        <v>510</v>
      </c>
      <c r="O218" s="18" t="s">
        <v>870</v>
      </c>
      <c r="P218" s="18" t="s">
        <v>871</v>
      </c>
      <c r="Q218" s="18" t="s">
        <v>872</v>
      </c>
      <c r="R218" s="18">
        <v>30.0</v>
      </c>
      <c r="S218" s="19"/>
      <c r="T218" s="21" t="s">
        <v>122</v>
      </c>
      <c r="U218" s="21" t="s">
        <v>124</v>
      </c>
      <c r="V218" s="19"/>
      <c r="W218" s="19"/>
      <c r="X218" s="19"/>
      <c r="Y218" s="19"/>
      <c r="Z218" s="19"/>
      <c r="AA218" s="19"/>
      <c r="AB218" s="19"/>
      <c r="AC218" s="19"/>
      <c r="AD218" s="19"/>
      <c r="AE218" s="19"/>
      <c r="AF218" s="19"/>
      <c r="AG218" s="19"/>
      <c r="AH218" s="19"/>
      <c r="AI218" s="19"/>
      <c r="AJ218" s="19"/>
      <c r="AK218" s="19"/>
      <c r="AL218" s="19"/>
      <c r="AM218" s="19"/>
    </row>
    <row r="219">
      <c r="A219" s="23"/>
      <c r="B219" s="23"/>
      <c r="C219" s="23"/>
      <c r="D219" s="23"/>
      <c r="E219" s="23"/>
      <c r="F219" s="23"/>
      <c r="G219" s="23"/>
      <c r="H219" s="34" t="s">
        <v>928</v>
      </c>
      <c r="I219" s="15" t="str">
        <f t="shared" si="5"/>
        <v>https://youtube.com/embed/zvauzjKvnM0</v>
      </c>
      <c r="J219" s="32" t="s">
        <v>929</v>
      </c>
      <c r="K219" s="33" t="str">
        <f>IFERROR(__xludf.DUMMYFUNCTION("CONCATENATE(""CLASE 0"",REGEXEXTRACT(H219,""[\d]+""))"),"CLASE 02")</f>
        <v>CLASE 02</v>
      </c>
      <c r="L219" s="34" t="s">
        <v>1005</v>
      </c>
      <c r="M219" s="17" t="s">
        <v>263</v>
      </c>
      <c r="N219" s="23"/>
      <c r="O219" s="18"/>
      <c r="P219" s="18"/>
      <c r="Q219" s="18"/>
      <c r="R219" s="18"/>
      <c r="S219" s="19"/>
      <c r="T219" s="21"/>
      <c r="U219" s="21"/>
      <c r="V219" s="19"/>
      <c r="W219" s="19"/>
      <c r="X219" s="19"/>
      <c r="Y219" s="19"/>
      <c r="Z219" s="19"/>
      <c r="AA219" s="19"/>
      <c r="AB219" s="19"/>
      <c r="AC219" s="19"/>
      <c r="AD219" s="19"/>
      <c r="AE219" s="19"/>
      <c r="AF219" s="19"/>
      <c r="AG219" s="19"/>
      <c r="AH219" s="19"/>
      <c r="AI219" s="19"/>
      <c r="AJ219" s="19"/>
      <c r="AK219" s="19"/>
      <c r="AL219" s="19"/>
      <c r="AM219" s="19"/>
    </row>
    <row r="220">
      <c r="A220" s="23"/>
      <c r="B220" s="23"/>
      <c r="C220" s="23"/>
      <c r="D220" s="23"/>
      <c r="E220" s="23"/>
      <c r="F220" s="23"/>
      <c r="G220" s="23"/>
      <c r="H220" s="34" t="s">
        <v>931</v>
      </c>
      <c r="I220" s="15" t="str">
        <f t="shared" si="5"/>
        <v>https://youtube.com/embed/ngxMXNY73Fg</v>
      </c>
      <c r="J220" s="32" t="s">
        <v>932</v>
      </c>
      <c r="K220" s="33" t="str">
        <f>IFERROR(__xludf.DUMMYFUNCTION("CONCATENATE(""CLASE 0"",REGEXEXTRACT(H220,""[\d]+""))"),"CLASE 03")</f>
        <v>CLASE 03</v>
      </c>
      <c r="L220" s="34" t="s">
        <v>1007</v>
      </c>
      <c r="M220" s="17" t="s">
        <v>263</v>
      </c>
      <c r="N220" s="23"/>
      <c r="O220" s="18"/>
      <c r="P220" s="18"/>
      <c r="Q220" s="18"/>
      <c r="R220" s="18"/>
      <c r="S220" s="19"/>
      <c r="T220" s="21"/>
      <c r="U220" s="21"/>
      <c r="V220" s="19"/>
      <c r="W220" s="19"/>
      <c r="X220" s="19"/>
      <c r="Y220" s="19"/>
      <c r="Z220" s="19"/>
      <c r="AA220" s="19"/>
      <c r="AB220" s="19"/>
      <c r="AC220" s="19"/>
      <c r="AD220" s="19"/>
      <c r="AE220" s="19"/>
      <c r="AF220" s="19"/>
      <c r="AG220" s="19"/>
      <c r="AH220" s="19"/>
      <c r="AI220" s="19"/>
      <c r="AJ220" s="19"/>
      <c r="AK220" s="19"/>
      <c r="AL220" s="19"/>
      <c r="AM220" s="19"/>
    </row>
    <row r="221">
      <c r="A221" s="27"/>
      <c r="B221" s="27"/>
      <c r="C221" s="27"/>
      <c r="D221" s="27"/>
      <c r="E221" s="27"/>
      <c r="F221" s="27"/>
      <c r="G221" s="27"/>
      <c r="H221" s="34" t="s">
        <v>934</v>
      </c>
      <c r="I221" s="15" t="str">
        <f t="shared" si="5"/>
        <v>https://youtube.com/embed/i-TMOsQDNig</v>
      </c>
      <c r="J221" s="32" t="s">
        <v>935</v>
      </c>
      <c r="K221" s="33" t="str">
        <f>IFERROR(__xludf.DUMMYFUNCTION("CONCATENATE(""CLASE 0"",REGEXEXTRACT(H221,""[\d]+""))"),"CLASE 04")</f>
        <v>CLASE 04</v>
      </c>
      <c r="L221" s="34" t="s">
        <v>1011</v>
      </c>
      <c r="M221" s="17" t="s">
        <v>263</v>
      </c>
      <c r="N221" s="27"/>
      <c r="O221" s="18"/>
      <c r="P221" s="18"/>
      <c r="Q221" s="18"/>
      <c r="R221" s="18"/>
      <c r="S221" s="19"/>
      <c r="T221" s="21"/>
      <c r="U221" s="21"/>
      <c r="V221" s="19"/>
      <c r="W221" s="19"/>
      <c r="X221" s="19"/>
      <c r="Y221" s="19"/>
      <c r="Z221" s="19"/>
      <c r="AA221" s="19"/>
      <c r="AB221" s="19"/>
      <c r="AC221" s="19"/>
      <c r="AD221" s="19"/>
      <c r="AE221" s="19"/>
      <c r="AF221" s="19"/>
      <c r="AG221" s="19"/>
      <c r="AH221" s="19"/>
      <c r="AI221" s="19"/>
      <c r="AJ221" s="19"/>
      <c r="AK221" s="19"/>
      <c r="AL221" s="19"/>
      <c r="AM221" s="19"/>
    </row>
    <row r="222">
      <c r="A222" s="28" t="s">
        <v>936</v>
      </c>
      <c r="B222" s="26" t="str">
        <f>TRIM(MID(A222, SEARCH("- ", A222) + 2, LEN(A222)))
</f>
        <v>SOSTENIBILIDAD Y SEGURIDAD EN CAMPAMENTOS MINEROS</v>
      </c>
      <c r="C222" s="13" t="s">
        <v>77</v>
      </c>
      <c r="D222" s="13" t="s">
        <v>77</v>
      </c>
      <c r="E222" s="13" t="s">
        <v>77</v>
      </c>
      <c r="F222" s="13" t="s">
        <v>60</v>
      </c>
      <c r="G222" s="13" t="s">
        <v>77</v>
      </c>
      <c r="H222" s="34" t="s">
        <v>938</v>
      </c>
      <c r="I222" s="15" t="str">
        <f t="shared" si="5"/>
        <v>https://youtube.com/embed/7WXIJEUEC3U</v>
      </c>
      <c r="J222" s="15" t="s">
        <v>939</v>
      </c>
      <c r="K222" s="33" t="s">
        <v>170</v>
      </c>
      <c r="L222" s="49" t="s">
        <v>1015</v>
      </c>
      <c r="M222" s="17" t="s">
        <v>114</v>
      </c>
      <c r="N222" s="18"/>
      <c r="O222" s="18" t="s">
        <v>870</v>
      </c>
      <c r="P222" s="18" t="s">
        <v>871</v>
      </c>
      <c r="Q222" s="18" t="s">
        <v>872</v>
      </c>
      <c r="R222" s="18">
        <v>30.0</v>
      </c>
      <c r="S222" s="19"/>
      <c r="T222" s="21" t="s">
        <v>122</v>
      </c>
      <c r="U222" s="21" t="s">
        <v>124</v>
      </c>
      <c r="V222" s="19"/>
      <c r="W222" s="19"/>
      <c r="X222" s="19"/>
      <c r="Y222" s="19"/>
      <c r="Z222" s="19"/>
      <c r="AA222" s="19"/>
      <c r="AB222" s="19"/>
      <c r="AC222" s="19"/>
      <c r="AD222" s="19"/>
      <c r="AE222" s="19"/>
      <c r="AF222" s="19"/>
      <c r="AG222" s="19"/>
      <c r="AH222" s="19"/>
      <c r="AI222" s="19"/>
      <c r="AJ222" s="19"/>
      <c r="AK222" s="19"/>
      <c r="AL222" s="19"/>
      <c r="AM222" s="19"/>
    </row>
    <row r="223">
      <c r="A223" s="23"/>
      <c r="B223" s="23"/>
      <c r="C223" s="23"/>
      <c r="D223" s="23"/>
      <c r="E223" s="23"/>
      <c r="F223" s="23"/>
      <c r="G223" s="23"/>
      <c r="H223" s="34" t="s">
        <v>941</v>
      </c>
      <c r="I223" s="15" t="str">
        <f t="shared" si="5"/>
        <v>https://youtube.com/embed/7Wy6YLIRQ8c</v>
      </c>
      <c r="J223" s="15" t="s">
        <v>943</v>
      </c>
      <c r="K223" s="33" t="s">
        <v>185</v>
      </c>
      <c r="L223" s="49" t="s">
        <v>1018</v>
      </c>
      <c r="M223" s="17" t="s">
        <v>114</v>
      </c>
      <c r="N223" s="18"/>
      <c r="O223" s="18"/>
      <c r="P223" s="18"/>
      <c r="Q223" s="18"/>
      <c r="R223" s="18"/>
      <c r="S223" s="19"/>
      <c r="T223" s="21"/>
      <c r="U223" s="21"/>
      <c r="V223" s="19"/>
      <c r="W223" s="19"/>
      <c r="X223" s="19"/>
      <c r="Y223" s="19"/>
      <c r="Z223" s="19"/>
      <c r="AA223" s="19"/>
      <c r="AB223" s="19"/>
      <c r="AC223" s="19"/>
      <c r="AD223" s="19"/>
      <c r="AE223" s="19"/>
      <c r="AF223" s="19"/>
      <c r="AG223" s="19"/>
      <c r="AH223" s="19"/>
      <c r="AI223" s="19"/>
      <c r="AJ223" s="19"/>
      <c r="AK223" s="19"/>
      <c r="AL223" s="19"/>
      <c r="AM223" s="19"/>
    </row>
    <row r="224">
      <c r="A224" s="23"/>
      <c r="B224" s="23"/>
      <c r="C224" s="23"/>
      <c r="D224" s="23"/>
      <c r="E224" s="23"/>
      <c r="F224" s="23"/>
      <c r="G224" s="23"/>
      <c r="H224" s="34" t="s">
        <v>945</v>
      </c>
      <c r="I224" s="15" t="str">
        <f t="shared" si="5"/>
        <v>https://youtube.com/embed/O-VgnyDJBJ8</v>
      </c>
      <c r="J224" s="15" t="s">
        <v>946</v>
      </c>
      <c r="K224" s="33" t="s">
        <v>192</v>
      </c>
      <c r="L224" s="49" t="s">
        <v>1020</v>
      </c>
      <c r="M224" s="17" t="s">
        <v>114</v>
      </c>
      <c r="N224" s="18"/>
      <c r="O224" s="18"/>
      <c r="P224" s="18"/>
      <c r="Q224" s="18"/>
      <c r="R224" s="18"/>
      <c r="S224" s="19"/>
      <c r="T224" s="21"/>
      <c r="U224" s="21"/>
      <c r="V224" s="19"/>
      <c r="W224" s="19"/>
      <c r="X224" s="19"/>
      <c r="Y224" s="19"/>
      <c r="Z224" s="19"/>
      <c r="AA224" s="19"/>
      <c r="AB224" s="19"/>
      <c r="AC224" s="19"/>
      <c r="AD224" s="19"/>
      <c r="AE224" s="19"/>
      <c r="AF224" s="19"/>
      <c r="AG224" s="19"/>
      <c r="AH224" s="19"/>
      <c r="AI224" s="19"/>
      <c r="AJ224" s="19"/>
      <c r="AK224" s="19"/>
      <c r="AL224" s="19"/>
      <c r="AM224" s="19"/>
    </row>
    <row r="225">
      <c r="A225" s="27"/>
      <c r="B225" s="27"/>
      <c r="C225" s="27"/>
      <c r="D225" s="27"/>
      <c r="E225" s="27"/>
      <c r="F225" s="27"/>
      <c r="G225" s="27"/>
      <c r="H225" s="34" t="s">
        <v>948</v>
      </c>
      <c r="I225" s="15" t="str">
        <f t="shared" si="5"/>
        <v>https://youtube.com/embed/DeNxp3Nt0Nw</v>
      </c>
      <c r="J225" s="15" t="s">
        <v>949</v>
      </c>
      <c r="K225" s="33" t="s">
        <v>212</v>
      </c>
      <c r="L225" s="49" t="s">
        <v>1023</v>
      </c>
      <c r="M225" s="17" t="s">
        <v>114</v>
      </c>
      <c r="N225" s="18"/>
      <c r="O225" s="18"/>
      <c r="P225" s="18"/>
      <c r="Q225" s="18"/>
      <c r="R225" s="18"/>
      <c r="S225" s="19"/>
      <c r="T225" s="21"/>
      <c r="U225" s="21"/>
      <c r="V225" s="19"/>
      <c r="W225" s="19"/>
      <c r="X225" s="19"/>
      <c r="Y225" s="19"/>
      <c r="Z225" s="19"/>
      <c r="AA225" s="19"/>
      <c r="AB225" s="19"/>
      <c r="AC225" s="19"/>
      <c r="AD225" s="19"/>
      <c r="AE225" s="19"/>
      <c r="AF225" s="19"/>
      <c r="AG225" s="19"/>
      <c r="AH225" s="19"/>
      <c r="AI225" s="19"/>
      <c r="AJ225" s="19"/>
      <c r="AK225" s="19"/>
      <c r="AL225" s="19"/>
      <c r="AM225" s="19"/>
    </row>
    <row r="226">
      <c r="A226" s="28" t="s">
        <v>950</v>
      </c>
      <c r="B226" s="26" t="str">
        <f>TRIM(MID(A226, SEARCH("- ", A226) + 2, LEN(A226)))
</f>
        <v>ANÁLISIS DE DATOS PARA OPTIMIZAR OPERACIONES MINERAS</v>
      </c>
      <c r="C226" s="13" t="s">
        <v>77</v>
      </c>
      <c r="D226" s="13" t="s">
        <v>77</v>
      </c>
      <c r="E226" s="13" t="s">
        <v>77</v>
      </c>
      <c r="F226" s="70" t="s">
        <v>57</v>
      </c>
      <c r="G226" s="13" t="s">
        <v>77</v>
      </c>
      <c r="H226" s="34" t="s">
        <v>952</v>
      </c>
      <c r="I226" s="15" t="str">
        <f t="shared" si="5"/>
        <v>https://youtube.com/embed/yy7UNc6yy4A</v>
      </c>
      <c r="J226" s="32" t="s">
        <v>953</v>
      </c>
      <c r="K226" s="33" t="str">
        <f>IFERROR(__xludf.DUMMYFUNCTION("CONCATENATE(""CLASE 0"",REGEXEXTRACT(H226,""[\d]+""))"),"CLASE 01")</f>
        <v>CLASE 01</v>
      </c>
      <c r="L226" s="34" t="s">
        <v>1028</v>
      </c>
      <c r="M226" s="17" t="s">
        <v>263</v>
      </c>
      <c r="N226" s="65" t="s">
        <v>510</v>
      </c>
      <c r="O226" s="18" t="s">
        <v>870</v>
      </c>
      <c r="P226" s="18" t="s">
        <v>871</v>
      </c>
      <c r="Q226" s="18" t="s">
        <v>872</v>
      </c>
      <c r="R226" s="18">
        <v>30.0</v>
      </c>
      <c r="S226" s="19"/>
      <c r="T226" s="21" t="s">
        <v>122</v>
      </c>
      <c r="U226" s="21" t="s">
        <v>124</v>
      </c>
      <c r="V226" s="19"/>
      <c r="W226" s="19"/>
      <c r="X226" s="19"/>
      <c r="Y226" s="19"/>
      <c r="Z226" s="19"/>
      <c r="AA226" s="19"/>
      <c r="AB226" s="19"/>
      <c r="AC226" s="19"/>
      <c r="AD226" s="19"/>
      <c r="AE226" s="19"/>
      <c r="AF226" s="19"/>
      <c r="AG226" s="19"/>
      <c r="AH226" s="19"/>
      <c r="AI226" s="19"/>
      <c r="AJ226" s="19"/>
      <c r="AK226" s="19"/>
      <c r="AL226" s="19"/>
      <c r="AM226" s="19"/>
    </row>
    <row r="227">
      <c r="A227" s="23"/>
      <c r="B227" s="23"/>
      <c r="C227" s="23"/>
      <c r="D227" s="23"/>
      <c r="E227" s="23"/>
      <c r="F227" s="23"/>
      <c r="G227" s="23"/>
      <c r="H227" s="34" t="s">
        <v>954</v>
      </c>
      <c r="I227" s="15" t="str">
        <f t="shared" si="5"/>
        <v>https://youtube.com/embed/gG5HUxZTPEw</v>
      </c>
      <c r="J227" s="32" t="s">
        <v>955</v>
      </c>
      <c r="K227" s="33" t="str">
        <f>IFERROR(__xludf.DUMMYFUNCTION("CONCATENATE(""CLASE 0"",REGEXEXTRACT(H227,""[\d]+""))"),"CLASE 02")</f>
        <v>CLASE 02</v>
      </c>
      <c r="L227" s="34" t="s">
        <v>1030</v>
      </c>
      <c r="M227" s="17" t="s">
        <v>263</v>
      </c>
      <c r="N227" s="23"/>
      <c r="O227" s="18"/>
      <c r="P227" s="18"/>
      <c r="Q227" s="18"/>
      <c r="R227" s="18"/>
      <c r="S227" s="19"/>
      <c r="T227" s="21"/>
      <c r="U227" s="21"/>
      <c r="V227" s="19"/>
      <c r="W227" s="19"/>
      <c r="X227" s="19"/>
      <c r="Y227" s="19"/>
      <c r="Z227" s="19"/>
      <c r="AA227" s="19"/>
      <c r="AB227" s="19"/>
      <c r="AC227" s="19"/>
      <c r="AD227" s="19"/>
      <c r="AE227" s="19"/>
      <c r="AF227" s="19"/>
      <c r="AG227" s="19"/>
      <c r="AH227" s="19"/>
      <c r="AI227" s="19"/>
      <c r="AJ227" s="19"/>
      <c r="AK227" s="19"/>
      <c r="AL227" s="19"/>
      <c r="AM227" s="19"/>
    </row>
    <row r="228">
      <c r="A228" s="23"/>
      <c r="B228" s="23"/>
      <c r="C228" s="23"/>
      <c r="D228" s="23"/>
      <c r="E228" s="23"/>
      <c r="F228" s="23"/>
      <c r="G228" s="23"/>
      <c r="H228" s="34" t="s">
        <v>957</v>
      </c>
      <c r="I228" s="15" t="str">
        <f t="shared" si="5"/>
        <v>https://youtube.com/embed/N4eLEss4Aao</v>
      </c>
      <c r="J228" s="32" t="s">
        <v>958</v>
      </c>
      <c r="K228" s="33" t="str">
        <f>IFERROR(__xludf.DUMMYFUNCTION("CONCATENATE(""CLASE 0"",REGEXEXTRACT(H228,""[\d]+""))"),"CLASE 03")</f>
        <v>CLASE 03</v>
      </c>
      <c r="L228" s="34" t="s">
        <v>1032</v>
      </c>
      <c r="M228" s="17" t="s">
        <v>263</v>
      </c>
      <c r="N228" s="23"/>
      <c r="O228" s="18"/>
      <c r="P228" s="18"/>
      <c r="Q228" s="18"/>
      <c r="R228" s="18"/>
      <c r="S228" s="19"/>
      <c r="T228" s="21"/>
      <c r="U228" s="21"/>
      <c r="V228" s="19"/>
      <c r="W228" s="19"/>
      <c r="X228" s="19"/>
      <c r="Y228" s="19"/>
      <c r="Z228" s="19"/>
      <c r="AA228" s="19"/>
      <c r="AB228" s="19"/>
      <c r="AC228" s="19"/>
      <c r="AD228" s="19"/>
      <c r="AE228" s="19"/>
      <c r="AF228" s="19"/>
      <c r="AG228" s="19"/>
      <c r="AH228" s="19"/>
      <c r="AI228" s="19"/>
      <c r="AJ228" s="19"/>
      <c r="AK228" s="19"/>
      <c r="AL228" s="19"/>
      <c r="AM228" s="19"/>
    </row>
    <row r="229">
      <c r="A229" s="27"/>
      <c r="B229" s="27"/>
      <c r="C229" s="27"/>
      <c r="D229" s="27"/>
      <c r="E229" s="27"/>
      <c r="F229" s="27"/>
      <c r="G229" s="27"/>
      <c r="H229" s="57" t="s">
        <v>1034</v>
      </c>
      <c r="I229" s="15" t="str">
        <f t="shared" si="5"/>
        <v>https://youtube.com/embed/U9X3-rnPBYk</v>
      </c>
      <c r="J229" s="32" t="s">
        <v>962</v>
      </c>
      <c r="K229" s="33" t="str">
        <f>IFERROR(__xludf.DUMMYFUNCTION("CONCATENATE(""CLASE 0"",REGEXEXTRACT(H229,""[\d]+""))"),"CLASE 03")</f>
        <v>CLASE 03</v>
      </c>
      <c r="L229" s="34" t="s">
        <v>1036</v>
      </c>
      <c r="M229" s="17" t="s">
        <v>263</v>
      </c>
      <c r="N229" s="27"/>
      <c r="O229" s="18"/>
      <c r="P229" s="18"/>
      <c r="Q229" s="18"/>
      <c r="R229" s="18"/>
      <c r="S229" s="19"/>
      <c r="T229" s="21"/>
      <c r="U229" s="21"/>
      <c r="V229" s="19"/>
      <c r="W229" s="19"/>
      <c r="X229" s="19"/>
      <c r="Y229" s="19"/>
      <c r="Z229" s="19"/>
      <c r="AA229" s="19"/>
      <c r="AB229" s="19"/>
      <c r="AC229" s="19"/>
      <c r="AD229" s="19"/>
      <c r="AE229" s="19"/>
      <c r="AF229" s="19"/>
      <c r="AG229" s="19"/>
      <c r="AH229" s="19"/>
      <c r="AI229" s="19"/>
      <c r="AJ229" s="19"/>
      <c r="AK229" s="19"/>
      <c r="AL229" s="19"/>
      <c r="AM229" s="19"/>
    </row>
    <row r="230">
      <c r="A230" s="26" t="s">
        <v>963</v>
      </c>
      <c r="B230" s="26" t="str">
        <f>TRIM(MID(A230, SEARCH("- ", A230) + 2, LEN(A230)))
</f>
        <v>SEGURIDAD Y CONTROL AMBIENTAL EN EL MANTENIMIENTO</v>
      </c>
      <c r="C230" s="13" t="s">
        <v>77</v>
      </c>
      <c r="D230" s="13" t="s">
        <v>77</v>
      </c>
      <c r="E230" s="13" t="s">
        <v>77</v>
      </c>
      <c r="F230" s="106" t="s">
        <v>59</v>
      </c>
      <c r="G230" s="13" t="s">
        <v>77</v>
      </c>
      <c r="H230" s="34" t="s">
        <v>966</v>
      </c>
      <c r="I230" s="15" t="str">
        <f t="shared" si="5"/>
        <v>https://youtube.com/embed/xtwLSdjZPT8</v>
      </c>
      <c r="J230" s="32" t="s">
        <v>967</v>
      </c>
      <c r="K230" s="33" t="s">
        <v>170</v>
      </c>
      <c r="L230" s="49" t="s">
        <v>1042</v>
      </c>
      <c r="M230" s="17" t="s">
        <v>114</v>
      </c>
      <c r="N230" s="18"/>
      <c r="O230" s="18" t="s">
        <v>912</v>
      </c>
      <c r="P230" s="18" t="s">
        <v>913</v>
      </c>
      <c r="Q230" s="18" t="s">
        <v>871</v>
      </c>
      <c r="R230" s="18">
        <v>30.0</v>
      </c>
      <c r="S230" s="19"/>
      <c r="T230" s="21" t="s">
        <v>122</v>
      </c>
      <c r="U230" s="21" t="s">
        <v>124</v>
      </c>
      <c r="V230" s="19"/>
      <c r="W230" s="19"/>
      <c r="X230" s="19"/>
      <c r="Y230" s="19"/>
      <c r="Z230" s="19"/>
      <c r="AA230" s="19"/>
      <c r="AB230" s="19"/>
      <c r="AC230" s="19"/>
      <c r="AD230" s="19"/>
      <c r="AE230" s="19"/>
      <c r="AF230" s="19"/>
      <c r="AG230" s="19"/>
      <c r="AH230" s="19"/>
      <c r="AI230" s="19"/>
      <c r="AJ230" s="19"/>
      <c r="AK230" s="19"/>
      <c r="AL230" s="19"/>
      <c r="AM230" s="19"/>
    </row>
    <row r="231">
      <c r="A231" s="23"/>
      <c r="B231" s="23"/>
      <c r="C231" s="23"/>
      <c r="D231" s="23"/>
      <c r="E231" s="23"/>
      <c r="F231" s="23"/>
      <c r="G231" s="23"/>
      <c r="H231" s="34" t="s">
        <v>969</v>
      </c>
      <c r="I231" s="15" t="str">
        <f t="shared" si="5"/>
        <v>https://youtube.com/embed/Dp7hqGNLcsk</v>
      </c>
      <c r="J231" s="32" t="s">
        <v>970</v>
      </c>
      <c r="K231" s="33" t="s">
        <v>185</v>
      </c>
      <c r="L231" s="49" t="s">
        <v>1044</v>
      </c>
      <c r="M231" s="17" t="s">
        <v>114</v>
      </c>
      <c r="N231" s="18"/>
      <c r="O231" s="18"/>
      <c r="P231" s="18"/>
      <c r="Q231" s="18"/>
      <c r="R231" s="18"/>
      <c r="S231" s="19"/>
      <c r="T231" s="21"/>
      <c r="U231" s="21"/>
      <c r="V231" s="19"/>
      <c r="W231" s="19"/>
      <c r="X231" s="19"/>
      <c r="Y231" s="19"/>
      <c r="Z231" s="19"/>
      <c r="AA231" s="19"/>
      <c r="AB231" s="19"/>
      <c r="AC231" s="19"/>
      <c r="AD231" s="19"/>
      <c r="AE231" s="19"/>
      <c r="AF231" s="19"/>
      <c r="AG231" s="19"/>
      <c r="AH231" s="19"/>
      <c r="AI231" s="19"/>
      <c r="AJ231" s="19"/>
      <c r="AK231" s="19"/>
      <c r="AL231" s="19"/>
      <c r="AM231" s="19"/>
    </row>
    <row r="232">
      <c r="A232" s="23"/>
      <c r="B232" s="23"/>
      <c r="C232" s="23"/>
      <c r="D232" s="23"/>
      <c r="E232" s="23"/>
      <c r="F232" s="23"/>
      <c r="G232" s="23"/>
      <c r="H232" s="34" t="s">
        <v>972</v>
      </c>
      <c r="I232" s="15" t="str">
        <f t="shared" si="5"/>
        <v>https://youtube.com/embed/0nBP_kt7ldA</v>
      </c>
      <c r="J232" s="32" t="s">
        <v>973</v>
      </c>
      <c r="K232" s="33" t="s">
        <v>192</v>
      </c>
      <c r="L232" s="49" t="s">
        <v>1046</v>
      </c>
      <c r="M232" s="17" t="s">
        <v>114</v>
      </c>
      <c r="N232" s="18"/>
      <c r="O232" s="18"/>
      <c r="P232" s="18"/>
      <c r="Q232" s="18"/>
      <c r="R232" s="18"/>
      <c r="S232" s="19"/>
      <c r="T232" s="21"/>
      <c r="U232" s="21"/>
      <c r="V232" s="19"/>
      <c r="W232" s="19"/>
      <c r="X232" s="19"/>
      <c r="Y232" s="19"/>
      <c r="Z232" s="19"/>
      <c r="AA232" s="19"/>
      <c r="AB232" s="19"/>
      <c r="AC232" s="19"/>
      <c r="AD232" s="19"/>
      <c r="AE232" s="19"/>
      <c r="AF232" s="19"/>
      <c r="AG232" s="19"/>
      <c r="AH232" s="19"/>
      <c r="AI232" s="19"/>
      <c r="AJ232" s="19"/>
      <c r="AK232" s="19"/>
      <c r="AL232" s="19"/>
      <c r="AM232" s="19"/>
    </row>
    <row r="233">
      <c r="A233" s="27"/>
      <c r="B233" s="27"/>
      <c r="C233" s="27"/>
      <c r="D233" s="27"/>
      <c r="E233" s="27"/>
      <c r="F233" s="27"/>
      <c r="G233" s="27"/>
      <c r="H233" s="75"/>
      <c r="I233" s="63"/>
      <c r="J233" s="63"/>
      <c r="K233" s="33"/>
      <c r="L233" s="49"/>
      <c r="M233" s="17" t="s">
        <v>114</v>
      </c>
      <c r="N233" s="18"/>
      <c r="O233" s="18"/>
      <c r="P233" s="18"/>
      <c r="Q233" s="18"/>
      <c r="R233" s="18"/>
      <c r="S233" s="19"/>
      <c r="T233" s="21"/>
      <c r="U233" s="21"/>
      <c r="V233" s="19"/>
      <c r="W233" s="19"/>
      <c r="X233" s="19"/>
      <c r="Y233" s="19"/>
      <c r="Z233" s="19"/>
      <c r="AA233" s="19"/>
      <c r="AB233" s="19"/>
      <c r="AC233" s="19"/>
      <c r="AD233" s="19"/>
      <c r="AE233" s="19"/>
      <c r="AF233" s="19"/>
      <c r="AG233" s="19"/>
      <c r="AH233" s="19"/>
      <c r="AI233" s="19"/>
      <c r="AJ233" s="19"/>
      <c r="AK233" s="19"/>
      <c r="AL233" s="19"/>
      <c r="AM233" s="19"/>
    </row>
    <row r="234">
      <c r="A234" s="28" t="s">
        <v>975</v>
      </c>
      <c r="B234" s="26" t="str">
        <f>TRIM(MID(A234, SEARCH("- ", A234) + 2, LEN(A234)))
</f>
        <v>GERENCIA DE PROYECTOS DEL MANTENIMIENTO</v>
      </c>
      <c r="C234" s="13" t="s">
        <v>77</v>
      </c>
      <c r="D234" s="13" t="s">
        <v>77</v>
      </c>
      <c r="E234" s="65" t="s">
        <v>77</v>
      </c>
      <c r="F234" s="70" t="s">
        <v>57</v>
      </c>
      <c r="G234" s="13" t="s">
        <v>77</v>
      </c>
      <c r="H234" s="48" t="s">
        <v>976</v>
      </c>
      <c r="I234" s="15" t="str">
        <f t="shared" ref="I234:I241" si="6">SUBSTITUTE(LEFT(MID(H234,FIND("https",H234),99),FIND("?",H234)-FIND("https",H234)), "/live/", "/embed/")</f>
        <v>https://youtube.com/embed/EWefzYJlUT8</v>
      </c>
      <c r="J234" s="32" t="s">
        <v>977</v>
      </c>
      <c r="K234" s="33" t="s">
        <v>170</v>
      </c>
      <c r="L234" s="34" t="s">
        <v>1051</v>
      </c>
      <c r="M234" s="17" t="s">
        <v>510</v>
      </c>
      <c r="N234" s="78" t="s">
        <v>263</v>
      </c>
      <c r="O234" s="18" t="s">
        <v>870</v>
      </c>
      <c r="P234" s="18" t="s">
        <v>871</v>
      </c>
      <c r="Q234" s="18" t="s">
        <v>872</v>
      </c>
      <c r="R234" s="18">
        <v>30.0</v>
      </c>
      <c r="S234" s="19"/>
      <c r="T234" s="21" t="s">
        <v>122</v>
      </c>
      <c r="U234" s="21" t="s">
        <v>124</v>
      </c>
      <c r="V234" s="19"/>
      <c r="W234" s="19"/>
      <c r="X234" s="19"/>
      <c r="Y234" s="19"/>
      <c r="Z234" s="19"/>
      <c r="AA234" s="19"/>
      <c r="AB234" s="19"/>
      <c r="AC234" s="19"/>
      <c r="AD234" s="19"/>
      <c r="AE234" s="19"/>
      <c r="AF234" s="19"/>
      <c r="AG234" s="19"/>
      <c r="AH234" s="19"/>
      <c r="AI234" s="19"/>
      <c r="AJ234" s="19"/>
      <c r="AK234" s="19"/>
      <c r="AL234" s="19"/>
      <c r="AM234" s="19"/>
    </row>
    <row r="235">
      <c r="A235" s="23"/>
      <c r="B235" s="23"/>
      <c r="C235" s="23"/>
      <c r="D235" s="23"/>
      <c r="E235" s="23"/>
      <c r="F235" s="23"/>
      <c r="G235" s="23"/>
      <c r="H235" s="79" t="s">
        <v>1052</v>
      </c>
      <c r="I235" s="15" t="str">
        <f t="shared" si="6"/>
        <v>https://www.youtube.com/embed/y7e4TYMfT-M</v>
      </c>
      <c r="J235" s="32" t="s">
        <v>979</v>
      </c>
      <c r="K235" s="33" t="s">
        <v>185</v>
      </c>
      <c r="L235" s="34" t="s">
        <v>1055</v>
      </c>
      <c r="M235" s="17" t="s">
        <v>510</v>
      </c>
      <c r="N235" s="23"/>
      <c r="O235" s="18"/>
      <c r="P235" s="18"/>
      <c r="Q235" s="18"/>
      <c r="R235" s="18"/>
      <c r="S235" s="19"/>
      <c r="T235" s="21"/>
      <c r="U235" s="21"/>
      <c r="V235" s="19"/>
      <c r="W235" s="19"/>
      <c r="X235" s="19"/>
      <c r="Y235" s="19"/>
      <c r="Z235" s="19"/>
      <c r="AA235" s="19"/>
      <c r="AB235" s="19"/>
      <c r="AC235" s="19"/>
      <c r="AD235" s="19"/>
      <c r="AE235" s="19"/>
      <c r="AF235" s="19"/>
      <c r="AG235" s="19"/>
      <c r="AH235" s="19"/>
      <c r="AI235" s="19"/>
      <c r="AJ235" s="19"/>
      <c r="AK235" s="19"/>
      <c r="AL235" s="19"/>
      <c r="AM235" s="19"/>
    </row>
    <row r="236">
      <c r="A236" s="23"/>
      <c r="B236" s="23"/>
      <c r="C236" s="23"/>
      <c r="D236" s="23"/>
      <c r="E236" s="23"/>
      <c r="F236" s="23"/>
      <c r="G236" s="23"/>
      <c r="H236" s="48" t="s">
        <v>980</v>
      </c>
      <c r="I236" s="15" t="str">
        <f t="shared" si="6"/>
        <v>https://youtube.com/embed/5u2ptqn39sY</v>
      </c>
      <c r="J236" s="32" t="s">
        <v>982</v>
      </c>
      <c r="K236" s="33" t="s">
        <v>192</v>
      </c>
      <c r="L236" s="34" t="s">
        <v>1057</v>
      </c>
      <c r="M236" s="17" t="s">
        <v>510</v>
      </c>
      <c r="N236" s="23"/>
      <c r="O236" s="18"/>
      <c r="P236" s="18"/>
      <c r="Q236" s="18"/>
      <c r="R236" s="18"/>
      <c r="S236" s="19"/>
      <c r="T236" s="21"/>
      <c r="U236" s="21"/>
      <c r="V236" s="19"/>
      <c r="W236" s="19"/>
      <c r="X236" s="19"/>
      <c r="Y236" s="19"/>
      <c r="Z236" s="19"/>
      <c r="AA236" s="19"/>
      <c r="AB236" s="19"/>
      <c r="AC236" s="19"/>
      <c r="AD236" s="19"/>
      <c r="AE236" s="19"/>
      <c r="AF236" s="19"/>
      <c r="AG236" s="19"/>
      <c r="AH236" s="19"/>
      <c r="AI236" s="19"/>
      <c r="AJ236" s="19"/>
      <c r="AK236" s="19"/>
      <c r="AL236" s="19"/>
      <c r="AM236" s="19"/>
    </row>
    <row r="237">
      <c r="A237" s="27"/>
      <c r="B237" s="27"/>
      <c r="C237" s="27"/>
      <c r="D237" s="27"/>
      <c r="E237" s="27"/>
      <c r="F237" s="27"/>
      <c r="G237" s="27"/>
      <c r="H237" s="48" t="s">
        <v>984</v>
      </c>
      <c r="I237" s="15" t="str">
        <f t="shared" si="6"/>
        <v>https://youtube.com/embed/5KgvIuqlddE</v>
      </c>
      <c r="J237" s="32" t="s">
        <v>985</v>
      </c>
      <c r="K237" s="33" t="s">
        <v>212</v>
      </c>
      <c r="L237" s="34" t="s">
        <v>1059</v>
      </c>
      <c r="M237" s="17" t="s">
        <v>510</v>
      </c>
      <c r="N237" s="27"/>
      <c r="O237" s="18"/>
      <c r="P237" s="18"/>
      <c r="Q237" s="18"/>
      <c r="R237" s="18"/>
      <c r="S237" s="19"/>
      <c r="T237" s="21"/>
      <c r="U237" s="21"/>
      <c r="V237" s="19"/>
      <c r="W237" s="19"/>
      <c r="X237" s="19"/>
      <c r="Y237" s="19"/>
      <c r="Z237" s="19"/>
      <c r="AA237" s="19"/>
      <c r="AB237" s="19"/>
      <c r="AC237" s="19"/>
      <c r="AD237" s="19"/>
      <c r="AE237" s="19"/>
      <c r="AF237" s="19"/>
      <c r="AG237" s="19"/>
      <c r="AH237" s="19"/>
      <c r="AI237" s="19"/>
      <c r="AJ237" s="19"/>
      <c r="AK237" s="19"/>
      <c r="AL237" s="19"/>
      <c r="AM237" s="19"/>
    </row>
    <row r="238">
      <c r="A238" s="116" t="s">
        <v>987</v>
      </c>
      <c r="B238" s="26" t="str">
        <f>TRIM(MID(A238, SEARCH("- ", A238) + 2, LEN(A238)))
</f>
        <v>GESTIÓN DE COSTOS DEL MANTENIMIENTO EN LA INDUSTRIA 4.0</v>
      </c>
      <c r="C238" s="13" t="s">
        <v>77</v>
      </c>
      <c r="D238" s="13" t="s">
        <v>77</v>
      </c>
      <c r="E238" s="65" t="s">
        <v>77</v>
      </c>
      <c r="F238" s="70" t="s">
        <v>57</v>
      </c>
      <c r="G238" s="13" t="s">
        <v>77</v>
      </c>
      <c r="H238" s="79" t="s">
        <v>1062</v>
      </c>
      <c r="I238" s="15" t="str">
        <f t="shared" si="6"/>
        <v>https://youtube.com/embed/aAGSbABpRLc</v>
      </c>
      <c r="J238" s="32" t="s">
        <v>989</v>
      </c>
      <c r="K238" s="33" t="str">
        <f>IFERROR(__xludf.DUMMYFUNCTION("CONCATENATE(""CLASE 0"",REGEXEXTRACT(H238,""[\d]+""))"),"CLASE 01")</f>
        <v>CLASE 01</v>
      </c>
      <c r="L238" s="34" t="s">
        <v>1065</v>
      </c>
      <c r="M238" s="17" t="s">
        <v>510</v>
      </c>
      <c r="N238" s="78" t="s">
        <v>263</v>
      </c>
      <c r="O238" s="18" t="s">
        <v>870</v>
      </c>
      <c r="P238" s="18" t="s">
        <v>871</v>
      </c>
      <c r="Q238" s="18" t="s">
        <v>872</v>
      </c>
      <c r="R238" s="18">
        <v>30.0</v>
      </c>
      <c r="S238" s="19"/>
      <c r="T238" s="21" t="s">
        <v>122</v>
      </c>
      <c r="U238" s="21" t="s">
        <v>124</v>
      </c>
      <c r="V238" s="19"/>
      <c r="W238" s="19"/>
      <c r="X238" s="19"/>
      <c r="Y238" s="19"/>
      <c r="Z238" s="19"/>
      <c r="AA238" s="19"/>
      <c r="AB238" s="19"/>
      <c r="AC238" s="19"/>
      <c r="AD238" s="19"/>
      <c r="AE238" s="19"/>
      <c r="AF238" s="19"/>
      <c r="AG238" s="19"/>
      <c r="AH238" s="19"/>
      <c r="AI238" s="19"/>
      <c r="AJ238" s="19"/>
      <c r="AK238" s="19"/>
      <c r="AL238" s="19"/>
      <c r="AM238" s="19"/>
    </row>
    <row r="239">
      <c r="A239" s="23"/>
      <c r="B239" s="23"/>
      <c r="C239" s="23"/>
      <c r="D239" s="23"/>
      <c r="E239" s="23"/>
      <c r="F239" s="23"/>
      <c r="G239" s="23"/>
      <c r="H239" s="79" t="s">
        <v>1066</v>
      </c>
      <c r="I239" s="15" t="str">
        <f t="shared" si="6"/>
        <v>https://youtube.com/embed/U_3HI15SU6o</v>
      </c>
      <c r="J239" s="32" t="s">
        <v>992</v>
      </c>
      <c r="K239" s="33" t="str">
        <f>IFERROR(__xludf.DUMMYFUNCTION("CONCATENATE(""CLASE 0"",REGEXEXTRACT(H239,""[\d]+""))"),"CLASE 02")</f>
        <v>CLASE 02</v>
      </c>
      <c r="L239" s="34" t="s">
        <v>1068</v>
      </c>
      <c r="M239" s="17" t="s">
        <v>510</v>
      </c>
      <c r="N239" s="23"/>
      <c r="O239" s="80"/>
      <c r="P239" s="80"/>
      <c r="Q239" s="80"/>
      <c r="R239" s="80"/>
      <c r="S239" s="81"/>
      <c r="T239" s="82"/>
      <c r="U239" s="82"/>
      <c r="V239" s="82"/>
      <c r="W239" s="82"/>
      <c r="X239" s="82"/>
      <c r="Y239" s="82"/>
      <c r="Z239" s="82"/>
      <c r="AA239" s="82"/>
      <c r="AB239" s="82"/>
      <c r="AC239" s="82"/>
      <c r="AD239" s="82"/>
      <c r="AE239" s="82"/>
      <c r="AF239" s="82"/>
      <c r="AG239" s="82"/>
      <c r="AH239" s="82"/>
      <c r="AI239" s="82"/>
      <c r="AJ239" s="82"/>
      <c r="AK239" s="82"/>
      <c r="AL239" s="82"/>
      <c r="AM239" s="82"/>
    </row>
    <row r="240">
      <c r="A240" s="23"/>
      <c r="B240" s="23"/>
      <c r="C240" s="23"/>
      <c r="D240" s="23"/>
      <c r="E240" s="23"/>
      <c r="F240" s="23"/>
      <c r="G240" s="23"/>
      <c r="H240" s="79" t="s">
        <v>1070</v>
      </c>
      <c r="I240" s="15" t="str">
        <f t="shared" si="6"/>
        <v>https://youtube.com/embed/guDoLshQGlo</v>
      </c>
      <c r="J240" s="32" t="s">
        <v>996</v>
      </c>
      <c r="K240" s="33" t="str">
        <f>IFERROR(__xludf.DUMMYFUNCTION("CONCATENATE(""CLASE 0"",REGEXEXTRACT(H240,""[\d]+""))"),"CLASE 03")</f>
        <v>CLASE 03</v>
      </c>
      <c r="L240" s="34" t="s">
        <v>1072</v>
      </c>
      <c r="M240" s="17" t="s">
        <v>510</v>
      </c>
      <c r="N240" s="23"/>
      <c r="O240" s="83"/>
      <c r="P240" s="83"/>
      <c r="Q240" s="83"/>
      <c r="R240" s="83"/>
      <c r="S240" s="19"/>
      <c r="T240" s="19"/>
      <c r="U240" s="19"/>
      <c r="V240" s="19"/>
      <c r="W240" s="19"/>
      <c r="X240" s="19"/>
      <c r="Y240" s="19"/>
      <c r="Z240" s="19"/>
      <c r="AA240" s="19"/>
      <c r="AB240" s="19"/>
      <c r="AC240" s="19"/>
      <c r="AD240" s="19"/>
      <c r="AE240" s="19"/>
      <c r="AF240" s="19"/>
      <c r="AG240" s="19"/>
      <c r="AH240" s="19"/>
      <c r="AI240" s="19"/>
      <c r="AJ240" s="19"/>
      <c r="AK240" s="19"/>
      <c r="AL240" s="19"/>
      <c r="AM240" s="19"/>
    </row>
    <row r="241">
      <c r="A241" s="27"/>
      <c r="B241" s="27"/>
      <c r="C241" s="27"/>
      <c r="D241" s="27"/>
      <c r="E241" s="27"/>
      <c r="F241" s="27"/>
      <c r="G241" s="27"/>
      <c r="H241" s="48" t="s">
        <v>997</v>
      </c>
      <c r="I241" s="15" t="str">
        <f t="shared" si="6"/>
        <v>https://youtube.com/embed/OqFlA1Nr1T8</v>
      </c>
      <c r="J241" s="15" t="s">
        <v>999</v>
      </c>
      <c r="K241" s="33" t="str">
        <f>IFERROR(__xludf.DUMMYFUNCTION("CONCATENATE(""CLASE 0"",REGEXEXTRACT(H241,""[\d]+""))"),"CLASE 04")</f>
        <v>CLASE 04</v>
      </c>
      <c r="L241" s="34" t="s">
        <v>1075</v>
      </c>
      <c r="M241" s="17" t="s">
        <v>510</v>
      </c>
      <c r="N241" s="27"/>
      <c r="O241" s="83"/>
      <c r="P241" s="83"/>
      <c r="Q241" s="83"/>
      <c r="R241" s="83"/>
      <c r="S241" s="19"/>
      <c r="T241" s="19"/>
      <c r="U241" s="19"/>
      <c r="V241" s="19"/>
      <c r="W241" s="19"/>
      <c r="X241" s="19"/>
      <c r="Y241" s="19"/>
      <c r="Z241" s="19"/>
      <c r="AA241" s="19"/>
      <c r="AB241" s="19"/>
      <c r="AC241" s="19"/>
      <c r="AD241" s="19"/>
      <c r="AE241" s="19"/>
      <c r="AF241" s="19"/>
      <c r="AG241" s="19"/>
      <c r="AH241" s="19"/>
      <c r="AI241" s="19"/>
      <c r="AJ241" s="19"/>
      <c r="AK241" s="19"/>
      <c r="AL241" s="19"/>
      <c r="AM241" s="19"/>
    </row>
    <row r="242">
      <c r="A242" s="120" t="s">
        <v>1000</v>
      </c>
      <c r="B242" s="26" t="s">
        <v>103</v>
      </c>
      <c r="C242" s="13" t="s">
        <v>77</v>
      </c>
      <c r="D242" s="13" t="s">
        <v>77</v>
      </c>
      <c r="E242" s="13" t="s">
        <v>77</v>
      </c>
      <c r="F242" s="13" t="s">
        <v>60</v>
      </c>
      <c r="G242" s="13" t="s">
        <v>77</v>
      </c>
      <c r="H242" s="48" t="s">
        <v>1001</v>
      </c>
      <c r="I242" s="15" t="str">
        <f t="shared" ref="I242:I249" si="7">IFERROR(SUBSTITUTE(LEFT(MID(H242,FIND("https",H242),99),FIND("?",H242)-FIND("https",H242)), "/live/", "/embed/"),"")</f>
        <v>https://youtube.com/embed/NXQFBkkXRDc</v>
      </c>
      <c r="J242" s="15" t="s">
        <v>1003</v>
      </c>
      <c r="K242" s="33" t="s">
        <v>170</v>
      </c>
      <c r="L242" s="34" t="s">
        <v>1079</v>
      </c>
      <c r="M242" s="17" t="s">
        <v>114</v>
      </c>
      <c r="N242" s="83"/>
      <c r="O242" s="83"/>
      <c r="P242" s="83"/>
      <c r="Q242" s="83"/>
      <c r="R242" s="83"/>
      <c r="S242" s="19"/>
      <c r="T242" s="19"/>
      <c r="U242" s="19"/>
      <c r="V242" s="19"/>
      <c r="W242" s="19"/>
      <c r="X242" s="19"/>
      <c r="Y242" s="19"/>
      <c r="Z242" s="19"/>
      <c r="AA242" s="19"/>
      <c r="AB242" s="19"/>
      <c r="AC242" s="19"/>
      <c r="AD242" s="19"/>
      <c r="AE242" s="19"/>
      <c r="AF242" s="19"/>
      <c r="AG242" s="19"/>
      <c r="AH242" s="19"/>
      <c r="AI242" s="19"/>
      <c r="AJ242" s="19"/>
      <c r="AK242" s="19"/>
      <c r="AL242" s="19"/>
      <c r="AM242" s="19"/>
    </row>
    <row r="243">
      <c r="A243" s="27"/>
      <c r="B243" s="27"/>
      <c r="C243" s="23"/>
      <c r="D243" s="23"/>
      <c r="E243" s="27"/>
      <c r="F243" s="27"/>
      <c r="G243" s="23"/>
      <c r="H243" s="79" t="s">
        <v>1081</v>
      </c>
      <c r="I243" s="15" t="str">
        <f t="shared" si="7"/>
        <v>https://youtube.com/embed/pbTeN_qCaEk</v>
      </c>
      <c r="J243" s="15" t="s">
        <v>1006</v>
      </c>
      <c r="K243" s="33" t="s">
        <v>185</v>
      </c>
      <c r="L243" s="29" t="s">
        <v>1083</v>
      </c>
      <c r="M243" s="17" t="s">
        <v>114</v>
      </c>
      <c r="N243" s="83"/>
      <c r="O243" s="83"/>
      <c r="P243" s="83"/>
      <c r="Q243" s="83"/>
      <c r="R243" s="83"/>
      <c r="S243" s="19"/>
      <c r="T243" s="19"/>
      <c r="U243" s="19"/>
      <c r="V243" s="19"/>
      <c r="W243" s="19"/>
      <c r="X243" s="19"/>
      <c r="Y243" s="19"/>
      <c r="Z243" s="19"/>
      <c r="AA243" s="19"/>
      <c r="AB243" s="19"/>
      <c r="AC243" s="19"/>
      <c r="AD243" s="19"/>
      <c r="AE243" s="19"/>
      <c r="AF243" s="19"/>
      <c r="AG243" s="19"/>
      <c r="AH243" s="19"/>
      <c r="AI243" s="19"/>
      <c r="AJ243" s="19"/>
      <c r="AK243" s="19"/>
      <c r="AL243" s="19"/>
      <c r="AM243" s="19"/>
    </row>
    <row r="244">
      <c r="A244" s="120" t="s">
        <v>1008</v>
      </c>
      <c r="B244" s="26" t="s">
        <v>115</v>
      </c>
      <c r="C244" s="13" t="s">
        <v>77</v>
      </c>
      <c r="D244" s="13" t="s">
        <v>77</v>
      </c>
      <c r="E244" s="13" t="s">
        <v>77</v>
      </c>
      <c r="F244" s="13" t="s">
        <v>60</v>
      </c>
      <c r="G244" s="13" t="s">
        <v>77</v>
      </c>
      <c r="H244" s="48" t="s">
        <v>1009</v>
      </c>
      <c r="I244" s="15" t="str">
        <f t="shared" si="7"/>
        <v>https://youtube.com/embed/QBwK1TDAy9E</v>
      </c>
      <c r="J244" s="15" t="s">
        <v>1010</v>
      </c>
      <c r="K244" s="33" t="s">
        <v>170</v>
      </c>
      <c r="L244" s="49" t="s">
        <v>1086</v>
      </c>
      <c r="M244" s="17" t="s">
        <v>114</v>
      </c>
      <c r="N244" s="83"/>
      <c r="O244" s="83"/>
      <c r="P244" s="83"/>
      <c r="Q244" s="83"/>
      <c r="R244" s="83"/>
      <c r="S244" s="19"/>
      <c r="T244" s="19"/>
      <c r="U244" s="19"/>
      <c r="V244" s="19"/>
      <c r="W244" s="19"/>
      <c r="X244" s="19"/>
      <c r="Y244" s="19"/>
      <c r="Z244" s="19"/>
      <c r="AA244" s="19"/>
      <c r="AB244" s="19"/>
      <c r="AC244" s="19"/>
      <c r="AD244" s="19"/>
      <c r="AE244" s="19"/>
      <c r="AF244" s="19"/>
      <c r="AG244" s="19"/>
      <c r="AH244" s="19"/>
      <c r="AI244" s="19"/>
      <c r="AJ244" s="19"/>
      <c r="AK244" s="19"/>
      <c r="AL244" s="19"/>
      <c r="AM244" s="19"/>
    </row>
    <row r="245">
      <c r="A245" s="27"/>
      <c r="B245" s="27"/>
      <c r="C245" s="23"/>
      <c r="D245" s="23"/>
      <c r="E245" s="27"/>
      <c r="F245" s="27"/>
      <c r="G245" s="23"/>
      <c r="H245" s="86" t="s">
        <v>1012</v>
      </c>
      <c r="I245" s="15" t="str">
        <f t="shared" si="7"/>
        <v>https://youtube.com/embed/PN9JMPsGWJI</v>
      </c>
      <c r="J245" s="15" t="s">
        <v>1013</v>
      </c>
      <c r="K245" s="33" t="s">
        <v>185</v>
      </c>
      <c r="L245" s="123" t="s">
        <v>1089</v>
      </c>
      <c r="M245" s="17" t="s">
        <v>114</v>
      </c>
      <c r="N245" s="83"/>
      <c r="O245" s="83"/>
      <c r="P245" s="83"/>
      <c r="Q245" s="83"/>
      <c r="R245" s="83"/>
      <c r="S245" s="19"/>
      <c r="T245" s="19"/>
      <c r="U245" s="19"/>
      <c r="V245" s="19"/>
      <c r="W245" s="19"/>
      <c r="X245" s="19"/>
      <c r="Y245" s="19"/>
      <c r="Z245" s="19"/>
      <c r="AA245" s="19"/>
      <c r="AB245" s="19"/>
      <c r="AC245" s="19"/>
      <c r="AD245" s="19"/>
      <c r="AE245" s="19"/>
      <c r="AF245" s="19"/>
      <c r="AG245" s="19"/>
      <c r="AH245" s="19"/>
      <c r="AI245" s="19"/>
      <c r="AJ245" s="19"/>
      <c r="AK245" s="19"/>
      <c r="AL245" s="19"/>
      <c r="AM245" s="19"/>
    </row>
    <row r="246">
      <c r="A246" s="124" t="s">
        <v>1014</v>
      </c>
      <c r="B246" s="89" t="s">
        <v>24</v>
      </c>
      <c r="C246" s="90" t="s">
        <v>77</v>
      </c>
      <c r="D246" s="90" t="s">
        <v>77</v>
      </c>
      <c r="E246" s="13" t="s">
        <v>77</v>
      </c>
      <c r="F246" s="13" t="s">
        <v>63</v>
      </c>
      <c r="G246" s="90" t="s">
        <v>77</v>
      </c>
      <c r="H246" s="91" t="s">
        <v>1016</v>
      </c>
      <c r="I246" s="92" t="str">
        <f t="shared" si="7"/>
        <v>https://youtube.com/embed/tHDeyxJWpDc</v>
      </c>
      <c r="J246" s="15" t="s">
        <v>1017</v>
      </c>
      <c r="K246" s="33" t="s">
        <v>170</v>
      </c>
      <c r="L246" s="34" t="s">
        <v>1092</v>
      </c>
      <c r="M246" s="17" t="s">
        <v>114</v>
      </c>
      <c r="N246" s="93" t="str">
        <f>"COMIENZA DICIENDO QUE ES EL RESUMEN DEL CURSO " &amp; B246 &amp; " DE EDUMIN, LUEGO HAZ EL RESUMEN Y FINALIZA INVITANDO A VER EL RESTO DE RECURSOS DE LAS ZONAS DE EDUMIN."</f>
        <v>COMIENZA DICIENDO QUE ES EL RESUMEN DEL CURSO INDICADORES CLAVE (KPIS) PARA LA CADENA DE ABASTECIMIENTOS DE EDUMIN, LUEGO HAZ EL RESUMEN Y FINALIZA INVITANDO A VER EL RESTO DE RECURSOS DE LAS ZONAS DE EDUMIN.</v>
      </c>
      <c r="O246" s="94"/>
      <c r="P246" s="94"/>
      <c r="Q246" s="94"/>
      <c r="R246" s="94"/>
      <c r="S246" s="60"/>
      <c r="T246" s="60"/>
      <c r="U246" s="60"/>
      <c r="V246" s="60"/>
      <c r="W246" s="60"/>
      <c r="X246" s="60"/>
      <c r="Y246" s="60"/>
      <c r="Z246" s="60"/>
      <c r="AA246" s="60"/>
      <c r="AB246" s="60"/>
      <c r="AC246" s="60"/>
      <c r="AD246" s="60"/>
      <c r="AE246" s="60"/>
      <c r="AF246" s="60"/>
      <c r="AG246" s="60"/>
      <c r="AH246" s="60"/>
      <c r="AI246" s="60"/>
      <c r="AJ246" s="60"/>
      <c r="AK246" s="60"/>
      <c r="AL246" s="60"/>
      <c r="AM246" s="60"/>
    </row>
    <row r="247">
      <c r="A247" s="27"/>
      <c r="B247" s="27"/>
      <c r="C247" s="23"/>
      <c r="D247" s="23"/>
      <c r="E247" s="27"/>
      <c r="F247" s="27"/>
      <c r="G247" s="23"/>
      <c r="H247" s="95" t="s">
        <v>1019</v>
      </c>
      <c r="I247" s="92" t="str">
        <f t="shared" si="7"/>
        <v>https://youtube.com/embed/8q2uIts7_uY</v>
      </c>
      <c r="J247" s="15" t="s">
        <v>1021</v>
      </c>
      <c r="K247" s="33" t="s">
        <v>185</v>
      </c>
      <c r="L247" s="34" t="s">
        <v>1094</v>
      </c>
      <c r="M247" s="17" t="s">
        <v>114</v>
      </c>
      <c r="N247" s="93"/>
      <c r="O247" s="94"/>
      <c r="P247" s="94"/>
      <c r="Q247" s="94"/>
      <c r="R247" s="94"/>
      <c r="S247" s="60"/>
      <c r="T247" s="60"/>
      <c r="U247" s="60"/>
      <c r="V247" s="60"/>
      <c r="W247" s="60"/>
      <c r="X247" s="60"/>
      <c r="Y247" s="60"/>
      <c r="Z247" s="60"/>
      <c r="AA247" s="60"/>
      <c r="AB247" s="60"/>
      <c r="AC247" s="60"/>
      <c r="AD247" s="60"/>
      <c r="AE247" s="60"/>
      <c r="AF247" s="60"/>
      <c r="AG247" s="60"/>
      <c r="AH247" s="60"/>
      <c r="AI247" s="60"/>
      <c r="AJ247" s="60"/>
      <c r="AK247" s="60"/>
      <c r="AL247" s="60"/>
      <c r="AM247" s="60"/>
    </row>
    <row r="248">
      <c r="A248" s="124" t="s">
        <v>1022</v>
      </c>
      <c r="B248" s="89" t="s">
        <v>75</v>
      </c>
      <c r="C248" s="90" t="s">
        <v>77</v>
      </c>
      <c r="D248" s="90" t="s">
        <v>77</v>
      </c>
      <c r="E248" s="90" t="s">
        <v>77</v>
      </c>
      <c r="F248" s="70" t="s">
        <v>57</v>
      </c>
      <c r="G248" s="90" t="s">
        <v>77</v>
      </c>
      <c r="H248" s="91" t="s">
        <v>1024</v>
      </c>
      <c r="I248" s="92" t="str">
        <f t="shared" si="7"/>
        <v>https://youtube.com/embed/NGa4N5su0Ok</v>
      </c>
      <c r="J248" s="32" t="s">
        <v>1025</v>
      </c>
      <c r="K248" s="33" t="s">
        <v>170</v>
      </c>
      <c r="L248" s="34" t="s">
        <v>1095</v>
      </c>
      <c r="M248" s="18" t="s">
        <v>114</v>
      </c>
      <c r="N248" s="94" t="str">
        <f>"COMIENZA DICIENDO QUE ES EL RESUMEN DEL CURSO " &amp; B248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O248" s="94"/>
      <c r="P248" s="94"/>
      <c r="Q248" s="94"/>
      <c r="R248" s="94"/>
      <c r="S248" s="60"/>
      <c r="T248" s="60"/>
      <c r="U248" s="60"/>
      <c r="V248" s="60"/>
      <c r="W248" s="60"/>
      <c r="X248" s="60"/>
      <c r="Y248" s="60"/>
      <c r="Z248" s="60"/>
      <c r="AA248" s="60"/>
      <c r="AB248" s="60"/>
      <c r="AC248" s="60"/>
      <c r="AD248" s="60"/>
      <c r="AE248" s="60"/>
      <c r="AF248" s="60"/>
      <c r="AG248" s="60"/>
      <c r="AH248" s="60"/>
      <c r="AI248" s="60"/>
      <c r="AJ248" s="60"/>
      <c r="AK248" s="60"/>
      <c r="AL248" s="60"/>
      <c r="AM248" s="60"/>
    </row>
    <row r="249">
      <c r="A249" s="27"/>
      <c r="B249" s="27"/>
      <c r="C249" s="23"/>
      <c r="D249" s="23"/>
      <c r="E249" s="23"/>
      <c r="F249" s="27"/>
      <c r="G249" s="23"/>
      <c r="H249" s="91" t="s">
        <v>1026</v>
      </c>
      <c r="I249" s="92" t="str">
        <f t="shared" si="7"/>
        <v>https://youtube.com/embed/S7w7aoauTX0</v>
      </c>
      <c r="J249" s="32" t="s">
        <v>1027</v>
      </c>
      <c r="K249" s="33" t="s">
        <v>185</v>
      </c>
      <c r="L249" s="34" t="s">
        <v>1096</v>
      </c>
      <c r="M249" s="18" t="s">
        <v>114</v>
      </c>
      <c r="N249" s="94"/>
      <c r="O249" s="94"/>
      <c r="P249" s="94"/>
      <c r="Q249" s="94"/>
      <c r="R249" s="94"/>
      <c r="S249" s="60"/>
      <c r="T249" s="60"/>
      <c r="U249" s="60"/>
      <c r="V249" s="60"/>
      <c r="W249" s="60"/>
      <c r="X249" s="60"/>
      <c r="Y249" s="60"/>
      <c r="Z249" s="60"/>
      <c r="AA249" s="60"/>
      <c r="AB249" s="60"/>
      <c r="AC249" s="60"/>
      <c r="AD249" s="60"/>
      <c r="AE249" s="60"/>
      <c r="AF249" s="60"/>
      <c r="AG249" s="60"/>
      <c r="AH249" s="60"/>
      <c r="AI249" s="60"/>
      <c r="AJ249" s="60"/>
      <c r="AK249" s="60"/>
      <c r="AL249" s="60"/>
      <c r="AM249" s="60"/>
    </row>
    <row r="250">
      <c r="A250" s="139" t="s">
        <v>1029</v>
      </c>
      <c r="B250" s="97" t="s">
        <v>16</v>
      </c>
      <c r="C250" s="98" t="s">
        <v>77</v>
      </c>
      <c r="D250" s="98" t="s">
        <v>77</v>
      </c>
      <c r="E250" s="98" t="s">
        <v>77</v>
      </c>
      <c r="F250" s="13" t="s">
        <v>60</v>
      </c>
      <c r="G250" s="98" t="s">
        <v>77</v>
      </c>
      <c r="H250" s="99" t="s">
        <v>1031</v>
      </c>
      <c r="I250" s="100" t="str">
        <f t="shared" ref="I250:I251" si="8">IFERROR(
  SUBSTITUTE(
    IF(
      ISNUMBER(FIND("?" , H250)),
      LEFT(MID(H250,FIND("https",H250),99), FIND("?" , H250) - FIND("https",H250)),
      MID(H250,FIND("https",H250),99)
    ),
    "/live/",
    "/embed/"
  ),
  ""
)
</f>
        <v>https://youtube.com/embed/w3-iIVNbbBA</v>
      </c>
      <c r="J250" s="15" t="s">
        <v>1033</v>
      </c>
      <c r="K250" s="33" t="s">
        <v>170</v>
      </c>
      <c r="L250" s="49" t="s">
        <v>1097</v>
      </c>
      <c r="M250" s="17" t="s">
        <v>114</v>
      </c>
      <c r="N250" s="101"/>
      <c r="O250" s="101"/>
      <c r="P250" s="101"/>
      <c r="Q250" s="101"/>
      <c r="R250" s="101"/>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row>
    <row r="251">
      <c r="A251" s="27"/>
      <c r="B251" s="27"/>
      <c r="C251" s="23"/>
      <c r="D251" s="23"/>
      <c r="E251" s="27"/>
      <c r="F251" s="27"/>
      <c r="G251" s="23"/>
      <c r="H251" s="99" t="s">
        <v>1035</v>
      </c>
      <c r="I251" s="100" t="str">
        <f t="shared" si="8"/>
        <v>https://youtube.com/embed/yhylUPjcdkc</v>
      </c>
      <c r="J251" s="15" t="s">
        <v>1037</v>
      </c>
      <c r="K251" s="33" t="s">
        <v>185</v>
      </c>
      <c r="L251" s="140" t="s">
        <v>1098</v>
      </c>
      <c r="M251" s="17" t="s">
        <v>114</v>
      </c>
      <c r="N251" s="101"/>
      <c r="O251" s="101"/>
      <c r="P251" s="101"/>
      <c r="Q251" s="101"/>
      <c r="R251" s="101"/>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row>
    <row r="252">
      <c r="A252" s="139" t="s">
        <v>1038</v>
      </c>
      <c r="B252" s="97" t="s">
        <v>19</v>
      </c>
      <c r="C252" s="98" t="s">
        <v>77</v>
      </c>
      <c r="D252" s="98" t="s">
        <v>77</v>
      </c>
      <c r="E252" s="98" t="s">
        <v>77</v>
      </c>
      <c r="F252" s="13" t="s">
        <v>60</v>
      </c>
      <c r="G252" s="98" t="s">
        <v>77</v>
      </c>
      <c r="H252" s="105"/>
      <c r="I252" s="107" t="s">
        <v>1039</v>
      </c>
      <c r="J252" s="15" t="s">
        <v>762</v>
      </c>
      <c r="K252" s="33" t="s">
        <v>170</v>
      </c>
      <c r="L252" s="49" t="str">
        <f t="shared" ref="L252:L255" si="9">L166</f>
        <v>Contexto de la organización y liderazgo</v>
      </c>
      <c r="M252" s="17" t="s">
        <v>114</v>
      </c>
      <c r="N252" s="101"/>
      <c r="O252" s="101"/>
      <c r="P252" s="101"/>
      <c r="Q252" s="101"/>
      <c r="R252" s="101"/>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row>
    <row r="253">
      <c r="A253" s="23"/>
      <c r="B253" s="23"/>
      <c r="C253" s="23"/>
      <c r="D253" s="23"/>
      <c r="E253" s="23"/>
      <c r="F253" s="23"/>
      <c r="G253" s="23"/>
      <c r="H253" s="105"/>
      <c r="I253" s="107"/>
      <c r="J253" s="15" t="s">
        <v>766</v>
      </c>
      <c r="K253" s="33" t="s">
        <v>185</v>
      </c>
      <c r="L253" s="49" t="str">
        <f t="shared" si="9"/>
        <v>Planificación y gestión de riesgos</v>
      </c>
      <c r="M253" s="17"/>
      <c r="N253" s="101"/>
      <c r="O253" s="101"/>
      <c r="P253" s="101"/>
      <c r="Q253" s="101"/>
      <c r="R253" s="101"/>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row>
    <row r="254">
      <c r="A254" s="23"/>
      <c r="B254" s="23"/>
      <c r="C254" s="23"/>
      <c r="D254" s="23"/>
      <c r="E254" s="23"/>
      <c r="F254" s="23"/>
      <c r="G254" s="23"/>
      <c r="H254" s="105"/>
      <c r="I254" s="107"/>
      <c r="J254" s="15" t="s">
        <v>768</v>
      </c>
      <c r="K254" s="33" t="s">
        <v>192</v>
      </c>
      <c r="L254" s="49" t="str">
        <f t="shared" si="9"/>
        <v>Monitoreo, medición y mejora continua</v>
      </c>
      <c r="M254" s="17"/>
      <c r="N254" s="101"/>
      <c r="O254" s="101"/>
      <c r="P254" s="101"/>
      <c r="Q254" s="101"/>
      <c r="R254" s="101"/>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row>
    <row r="255">
      <c r="A255" s="23"/>
      <c r="B255" s="23"/>
      <c r="C255" s="23"/>
      <c r="D255" s="23"/>
      <c r="E255" s="23"/>
      <c r="F255" s="23"/>
      <c r="G255" s="23"/>
      <c r="H255" s="105"/>
      <c r="I255" s="107"/>
      <c r="J255" s="15" t="s">
        <v>770</v>
      </c>
      <c r="K255" s="33" t="s">
        <v>212</v>
      </c>
      <c r="L255" s="49" t="str">
        <f t="shared" si="9"/>
        <v>Auditorías internas en ISO 9001:2015</v>
      </c>
      <c r="M255" s="17"/>
      <c r="N255" s="101"/>
      <c r="O255" s="101"/>
      <c r="P255" s="101"/>
      <c r="Q255" s="101"/>
      <c r="R255" s="101"/>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row>
    <row r="256">
      <c r="A256" s="23"/>
      <c r="B256" s="23"/>
      <c r="C256" s="23"/>
      <c r="D256" s="23"/>
      <c r="E256" s="23"/>
      <c r="F256" s="23"/>
      <c r="G256" s="23"/>
      <c r="H256" s="105"/>
      <c r="I256" s="107"/>
      <c r="J256" s="15" t="s">
        <v>1033</v>
      </c>
      <c r="K256" s="33" t="s">
        <v>1099</v>
      </c>
      <c r="L256" s="141" t="str">
        <f t="shared" ref="L256:L257" si="10">L250</f>
        <v>Fundamentos de ISO 14001 y su enfoque hacia la gestión ambiental</v>
      </c>
      <c r="M256" s="17"/>
      <c r="N256" s="101"/>
      <c r="O256" s="101"/>
      <c r="P256" s="101"/>
      <c r="Q256" s="101"/>
      <c r="R256" s="101"/>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row>
    <row r="257">
      <c r="A257" s="23"/>
      <c r="B257" s="23"/>
      <c r="C257" s="23"/>
      <c r="D257" s="23"/>
      <c r="E257" s="23"/>
      <c r="F257" s="23"/>
      <c r="G257" s="23"/>
      <c r="H257" s="105"/>
      <c r="I257" s="107"/>
      <c r="J257" s="15" t="s">
        <v>1037</v>
      </c>
      <c r="K257" s="33" t="s">
        <v>1100</v>
      </c>
      <c r="L257" s="141" t="str">
        <f t="shared" si="10"/>
        <v>Implementación, evaluación y mejora continua en la gestión ambiental</v>
      </c>
      <c r="M257" s="17"/>
      <c r="N257" s="101"/>
      <c r="O257" s="101"/>
      <c r="P257" s="101"/>
      <c r="Q257" s="101"/>
      <c r="R257" s="101"/>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row>
    <row r="258">
      <c r="A258" s="23"/>
      <c r="B258" s="23"/>
      <c r="C258" s="23"/>
      <c r="D258" s="23"/>
      <c r="E258" s="23"/>
      <c r="F258" s="23"/>
      <c r="G258" s="23"/>
      <c r="H258" s="105"/>
      <c r="I258" s="107"/>
      <c r="J258" s="32" t="s">
        <v>437</v>
      </c>
      <c r="K258" s="33" t="s">
        <v>1101</v>
      </c>
      <c r="L258" s="141" t="str">
        <f t="shared" ref="L258:L261" si="11">L62</f>
        <v>Implementación de la norma ISO 45001:2018 en la minería</v>
      </c>
      <c r="M258" s="17"/>
      <c r="N258" s="101"/>
      <c r="O258" s="101"/>
      <c r="P258" s="101"/>
      <c r="Q258" s="101"/>
      <c r="R258" s="101"/>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row>
    <row r="259">
      <c r="A259" s="23"/>
      <c r="B259" s="23"/>
      <c r="C259" s="23"/>
      <c r="D259" s="23"/>
      <c r="E259" s="23"/>
      <c r="F259" s="23"/>
      <c r="G259" s="23"/>
      <c r="H259" s="105"/>
      <c r="I259" s="107"/>
      <c r="J259" s="32" t="s">
        <v>440</v>
      </c>
      <c r="K259" s="33" t="s">
        <v>1102</v>
      </c>
      <c r="L259" s="141" t="str">
        <f t="shared" si="11"/>
        <v>Identificación de peligros y evaluación de riesgos</v>
      </c>
      <c r="M259" s="17"/>
      <c r="N259" s="101"/>
      <c r="O259" s="101"/>
      <c r="P259" s="101"/>
      <c r="Q259" s="101"/>
      <c r="R259" s="101"/>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row>
    <row r="260">
      <c r="A260" s="23"/>
      <c r="B260" s="23"/>
      <c r="C260" s="23"/>
      <c r="D260" s="23"/>
      <c r="E260" s="23"/>
      <c r="F260" s="23"/>
      <c r="G260" s="23"/>
      <c r="H260" s="105"/>
      <c r="I260" s="107"/>
      <c r="J260" s="32" t="s">
        <v>443</v>
      </c>
      <c r="K260" s="33" t="s">
        <v>1103</v>
      </c>
      <c r="L260" s="141" t="str">
        <f t="shared" si="11"/>
        <v>Beneficios de implementar la ISO 45001 en la minería</v>
      </c>
      <c r="M260" s="17"/>
      <c r="N260" s="101"/>
      <c r="O260" s="101"/>
      <c r="P260" s="101"/>
      <c r="Q260" s="101"/>
      <c r="R260" s="101"/>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row>
    <row r="261">
      <c r="A261" s="27"/>
      <c r="B261" s="27"/>
      <c r="C261" s="23"/>
      <c r="D261" s="23"/>
      <c r="E261" s="27"/>
      <c r="F261" s="27"/>
      <c r="G261" s="23"/>
      <c r="H261" s="105"/>
      <c r="I261" s="107"/>
      <c r="J261" s="32" t="s">
        <v>446</v>
      </c>
      <c r="K261" s="33" t="s">
        <v>1104</v>
      </c>
      <c r="L261" s="141" t="str">
        <f t="shared" si="11"/>
        <v>Auditoría ISO 45001</v>
      </c>
      <c r="M261" s="17"/>
      <c r="N261" s="101"/>
      <c r="O261" s="101"/>
      <c r="P261" s="101"/>
      <c r="Q261" s="101"/>
      <c r="R261" s="101"/>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row>
    <row r="262">
      <c r="A262" s="139" t="s">
        <v>1041</v>
      </c>
      <c r="B262" s="97" t="s">
        <v>11</v>
      </c>
      <c r="C262" s="98" t="s">
        <v>77</v>
      </c>
      <c r="D262" s="98" t="s">
        <v>77</v>
      </c>
      <c r="E262" s="98" t="s">
        <v>77</v>
      </c>
      <c r="F262" s="13" t="s">
        <v>60</v>
      </c>
      <c r="G262" s="98" t="s">
        <v>77</v>
      </c>
      <c r="H262" s="108" t="s">
        <v>1105</v>
      </c>
      <c r="I262" s="100" t="str">
        <f t="shared" ref="I262:I263" si="12">IFERROR(
  SUBSTITUTE(
    IF(
      ISNUMBER(FIND("?" , H262)),
      LEFT(MID(H262,FIND("https",H262),99), FIND("?" , H262) - FIND("https",H262)),
      MID(H262,FIND("https",H262),99)
    ),
    "/live/",
    "/embed/"
  ),
  ""
)
</f>
        <v>https://youtube.com/embed/JCuIfXtExFU</v>
      </c>
      <c r="J262" s="32" t="s">
        <v>1045</v>
      </c>
      <c r="K262" s="33" t="str">
        <f>IFERROR(__xludf.DUMMYFUNCTION("CONCATENATE(""CLASE 0"",REGEXEXTRACT(H262,""[\d]+""))"),"CLASE 01")</f>
        <v>CLASE 01</v>
      </c>
      <c r="L262" s="34" t="s">
        <v>1106</v>
      </c>
      <c r="M262" s="109" t="s">
        <v>263</v>
      </c>
      <c r="N262" s="110" t="s">
        <v>510</v>
      </c>
      <c r="O262" s="101"/>
      <c r="P262" s="101"/>
      <c r="Q262" s="101"/>
      <c r="R262" s="101"/>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row>
    <row r="263">
      <c r="A263" s="27"/>
      <c r="B263" s="27"/>
      <c r="C263" s="23"/>
      <c r="D263" s="23"/>
      <c r="E263" s="27"/>
      <c r="F263" s="27"/>
      <c r="G263" s="23"/>
      <c r="H263" s="99" t="s">
        <v>1047</v>
      </c>
      <c r="I263" s="100" t="str">
        <f t="shared" si="12"/>
        <v>https://youtube.com/embed/C2J-2q2bwBs</v>
      </c>
      <c r="J263" s="15" t="s">
        <v>1048</v>
      </c>
      <c r="K263" s="33" t="str">
        <f>IFERROR(__xludf.DUMMYFUNCTION("CONCATENATE(""CLASE 0"",REGEXEXTRACT(H263,""[\d]+""))"),"CLASE 02")</f>
        <v>CLASE 02</v>
      </c>
      <c r="L263" s="34" t="s">
        <v>1108</v>
      </c>
      <c r="M263" s="109" t="s">
        <v>263</v>
      </c>
      <c r="N263" s="27"/>
      <c r="O263" s="101"/>
      <c r="P263" s="101"/>
      <c r="Q263" s="101"/>
      <c r="R263" s="101"/>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row>
    <row r="264">
      <c r="A264" s="97" t="s">
        <v>1049</v>
      </c>
      <c r="B264" s="97" t="s">
        <v>76</v>
      </c>
      <c r="C264" s="98" t="s">
        <v>77</v>
      </c>
      <c r="D264" s="98" t="s">
        <v>77</v>
      </c>
      <c r="E264" s="13" t="s">
        <v>77</v>
      </c>
      <c r="F264" s="13" t="s">
        <v>62</v>
      </c>
      <c r="G264" s="98" t="s">
        <v>77</v>
      </c>
      <c r="H264" s="105"/>
      <c r="I264" s="107" t="s">
        <v>1039</v>
      </c>
      <c r="J264" s="100" t="s">
        <v>1050</v>
      </c>
      <c r="K264" s="33" t="s">
        <v>170</v>
      </c>
      <c r="L264" s="34" t="s">
        <v>1109</v>
      </c>
      <c r="M264" s="111" t="s">
        <v>510</v>
      </c>
      <c r="N264" s="110" t="s">
        <v>263</v>
      </c>
      <c r="O264" s="101"/>
      <c r="P264" s="101"/>
      <c r="Q264" s="101"/>
      <c r="R264" s="101"/>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row>
    <row r="265">
      <c r="A265" s="27"/>
      <c r="B265" s="27"/>
      <c r="C265" s="23"/>
      <c r="D265" s="23"/>
      <c r="E265" s="27"/>
      <c r="F265" s="27"/>
      <c r="G265" s="23"/>
      <c r="H265" s="105"/>
      <c r="I265" s="107" t="s">
        <v>1039</v>
      </c>
      <c r="J265" s="100" t="s">
        <v>1053</v>
      </c>
      <c r="K265" s="33" t="s">
        <v>185</v>
      </c>
      <c r="L265" s="34" t="s">
        <v>1110</v>
      </c>
      <c r="M265" s="111" t="s">
        <v>510</v>
      </c>
      <c r="N265" s="27"/>
      <c r="O265" s="101"/>
      <c r="P265" s="101"/>
      <c r="Q265" s="101"/>
      <c r="R265" s="101"/>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c r="A266" s="97" t="s">
        <v>1054</v>
      </c>
      <c r="B266" s="97" t="s">
        <v>89</v>
      </c>
      <c r="C266" s="98" t="s">
        <v>77</v>
      </c>
      <c r="D266" s="98" t="s">
        <v>77</v>
      </c>
      <c r="E266" s="98" t="s">
        <v>77</v>
      </c>
      <c r="F266" s="13" t="s">
        <v>60</v>
      </c>
      <c r="G266" s="98"/>
      <c r="H266" s="101"/>
      <c r="I266" s="100" t="s">
        <v>1056</v>
      </c>
      <c r="J266" s="100" t="s">
        <v>1056</v>
      </c>
      <c r="K266" s="33" t="s">
        <v>170</v>
      </c>
      <c r="L266" s="34" t="s">
        <v>1111</v>
      </c>
      <c r="M266" s="17" t="s">
        <v>114</v>
      </c>
      <c r="N266" s="101"/>
      <c r="O266" s="101"/>
      <c r="P266" s="101"/>
      <c r="Q266" s="101"/>
      <c r="R266" s="101"/>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row>
    <row r="267">
      <c r="A267" s="27"/>
      <c r="B267" s="27"/>
      <c r="C267" s="23"/>
      <c r="D267" s="23"/>
      <c r="E267" s="27"/>
      <c r="F267" s="27"/>
      <c r="G267" s="23"/>
      <c r="H267" s="101"/>
      <c r="I267" s="100" t="s">
        <v>1058</v>
      </c>
      <c r="J267" s="100" t="s">
        <v>1058</v>
      </c>
      <c r="K267" s="33" t="s">
        <v>185</v>
      </c>
      <c r="L267" s="146" t="s">
        <v>1112</v>
      </c>
      <c r="M267" s="17" t="s">
        <v>114</v>
      </c>
      <c r="N267" s="101"/>
      <c r="O267" s="101"/>
      <c r="P267" s="101"/>
      <c r="Q267" s="101"/>
      <c r="R267" s="101"/>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c r="A268" s="147" t="s">
        <v>1060</v>
      </c>
      <c r="B268" s="97" t="s">
        <v>49</v>
      </c>
      <c r="C268" s="98" t="s">
        <v>77</v>
      </c>
      <c r="D268" s="98" t="s">
        <v>77</v>
      </c>
      <c r="E268" s="98" t="s">
        <v>77</v>
      </c>
      <c r="F268" s="13" t="s">
        <v>63</v>
      </c>
      <c r="G268" s="98"/>
      <c r="H268" s="105"/>
      <c r="I268" s="100" t="s">
        <v>1061</v>
      </c>
      <c r="J268" s="100" t="s">
        <v>1061</v>
      </c>
      <c r="K268" s="33" t="s">
        <v>170</v>
      </c>
      <c r="L268" s="34" t="s">
        <v>1113</v>
      </c>
      <c r="M268" s="17" t="s">
        <v>114</v>
      </c>
      <c r="N268" s="93" t="str">
        <f>"COMIENZA DICIENDO QUE ES EL RESUMEN DEL CURSO " &amp; B268 &amp; " DE EDUMIN, LUEGO HAZ EL RESUMEN Y FINALIZA INVITANDO A VER EL RESTO DE RECURSOS DE LAS ZONAS DE EDUMIN."</f>
        <v>COMIENZA DICIENDO QUE ES EL RESUMEN DEL CURSO GESTIÓN DE LA CADENA DE SUMINISTRO EN EMPRESAS MINERAS DE EDUMIN, LUEGO HAZ EL RESUMEN Y FINALIZA INVITANDO A VER EL RESTO DE RECURSOS DE LAS ZONAS DE EDUMIN.</v>
      </c>
      <c r="O268" s="101"/>
      <c r="P268" s="101"/>
      <c r="Q268" s="101"/>
      <c r="R268" s="101"/>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row>
    <row r="269">
      <c r="A269" s="27"/>
      <c r="B269" s="27"/>
      <c r="C269" s="23"/>
      <c r="D269" s="23"/>
      <c r="E269" s="27"/>
      <c r="F269" s="27"/>
      <c r="G269" s="23"/>
      <c r="H269" s="105"/>
      <c r="I269" s="100" t="s">
        <v>1063</v>
      </c>
      <c r="J269" s="100" t="s">
        <v>1063</v>
      </c>
      <c r="K269" s="33" t="s">
        <v>185</v>
      </c>
      <c r="L269" s="34" t="s">
        <v>1114</v>
      </c>
      <c r="M269" s="17" t="s">
        <v>114</v>
      </c>
      <c r="N269" s="117"/>
      <c r="O269" s="101"/>
      <c r="P269" s="101"/>
      <c r="Q269" s="101"/>
      <c r="R269" s="101"/>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row>
    <row r="270">
      <c r="A270" s="147" t="s">
        <v>1064</v>
      </c>
      <c r="B270" s="97" t="s">
        <v>8</v>
      </c>
      <c r="C270" s="98" t="s">
        <v>77</v>
      </c>
      <c r="D270" s="98" t="s">
        <v>77</v>
      </c>
      <c r="E270" s="98" t="s">
        <v>77</v>
      </c>
      <c r="F270" s="13" t="s">
        <v>63</v>
      </c>
      <c r="G270" s="98"/>
      <c r="H270" s="105"/>
      <c r="I270" s="100" t="s">
        <v>1067</v>
      </c>
      <c r="J270" s="148" t="s">
        <v>1067</v>
      </c>
      <c r="K270" s="33" t="s">
        <v>170</v>
      </c>
      <c r="L270" s="34" t="s">
        <v>1115</v>
      </c>
      <c r="M270" s="17" t="s">
        <v>114</v>
      </c>
      <c r="N270" s="93" t="str">
        <f>"COMIENZA DICIENDO QUE ES EL RESUMEN DEL CURSO " &amp; B270 &amp; " DE EDUMIN, LUEGO HAZ EL RESUMEN Y FINALIZA INVITANDO A VER EL RESTO DE RECURSOS DE LAS ZONAS DE EDUMIN."</f>
        <v>COMIENZA DICIENDO QUE ES EL RESUMEN DEL CURSO SEGURIDAD Y NORMATIVA EN EL CONTROL DE INVENTARIO Y LOGÍSTICA MINERA DE EDUMIN, LUEGO HAZ EL RESUMEN Y FINALIZA INVITANDO A VER EL RESTO DE RECURSOS DE LAS ZONAS DE EDUMIN.</v>
      </c>
      <c r="O270" s="101"/>
      <c r="P270" s="101"/>
      <c r="Q270" s="101"/>
      <c r="R270" s="101"/>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row>
    <row r="271">
      <c r="A271" s="27"/>
      <c r="B271" s="27"/>
      <c r="C271" s="23"/>
      <c r="D271" s="23"/>
      <c r="E271" s="27"/>
      <c r="F271" s="27"/>
      <c r="G271" s="23"/>
      <c r="H271" s="105"/>
      <c r="I271" s="100" t="s">
        <v>1069</v>
      </c>
      <c r="J271" s="148" t="s">
        <v>1069</v>
      </c>
      <c r="K271" s="33" t="s">
        <v>185</v>
      </c>
      <c r="L271" s="34" t="s">
        <v>1116</v>
      </c>
      <c r="M271" s="17" t="s">
        <v>114</v>
      </c>
      <c r="N271" s="117"/>
      <c r="O271" s="101"/>
      <c r="P271" s="101"/>
      <c r="Q271" s="101"/>
      <c r="R271" s="101"/>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row>
    <row r="272">
      <c r="A272" s="147" t="s">
        <v>1071</v>
      </c>
      <c r="B272" s="97" t="s">
        <v>4</v>
      </c>
      <c r="C272" s="98" t="s">
        <v>77</v>
      </c>
      <c r="D272" s="98" t="s">
        <v>77</v>
      </c>
      <c r="E272" s="98" t="s">
        <v>77</v>
      </c>
      <c r="F272" s="13" t="s">
        <v>60</v>
      </c>
      <c r="G272" s="98"/>
      <c r="H272" s="105"/>
      <c r="I272" s="100" t="s">
        <v>1073</v>
      </c>
      <c r="J272" s="100" t="s">
        <v>1073</v>
      </c>
      <c r="K272" s="33" t="s">
        <v>170</v>
      </c>
      <c r="L272" s="34" t="s">
        <v>1117</v>
      </c>
      <c r="M272" s="111" t="s">
        <v>263</v>
      </c>
      <c r="N272" s="110" t="s">
        <v>263</v>
      </c>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row>
    <row r="273">
      <c r="A273" s="27"/>
      <c r="B273" s="27"/>
      <c r="C273" s="23"/>
      <c r="D273" s="23"/>
      <c r="E273" s="27"/>
      <c r="F273" s="27"/>
      <c r="G273" s="23"/>
      <c r="H273" s="105"/>
      <c r="I273" s="100" t="s">
        <v>1074</v>
      </c>
      <c r="J273" s="100" t="s">
        <v>1074</v>
      </c>
      <c r="K273" s="33" t="s">
        <v>185</v>
      </c>
      <c r="L273" s="34" t="s">
        <v>1118</v>
      </c>
      <c r="M273" s="111" t="s">
        <v>263</v>
      </c>
      <c r="N273" s="27"/>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row>
    <row r="274">
      <c r="A274" s="147" t="s">
        <v>1076</v>
      </c>
      <c r="B274" s="97" t="s">
        <v>17</v>
      </c>
      <c r="C274" s="98" t="s">
        <v>77</v>
      </c>
      <c r="D274" s="98" t="s">
        <v>77</v>
      </c>
      <c r="E274" s="98" t="s">
        <v>77</v>
      </c>
      <c r="F274" s="13" t="s">
        <v>60</v>
      </c>
      <c r="G274" s="98"/>
      <c r="H274" s="105"/>
      <c r="I274" s="107" t="s">
        <v>1039</v>
      </c>
      <c r="J274" s="100" t="s">
        <v>1077</v>
      </c>
      <c r="K274" s="33" t="s">
        <v>170</v>
      </c>
      <c r="L274" s="34" t="s">
        <v>1119</v>
      </c>
      <c r="M274" s="121" t="s">
        <v>263</v>
      </c>
      <c r="N274" s="110" t="s">
        <v>263</v>
      </c>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row>
    <row r="275">
      <c r="A275" s="27"/>
      <c r="B275" s="27"/>
      <c r="C275" s="23"/>
      <c r="D275" s="23"/>
      <c r="E275" s="27"/>
      <c r="F275" s="27"/>
      <c r="G275" s="23"/>
      <c r="H275" s="105"/>
      <c r="I275" s="107" t="s">
        <v>1039</v>
      </c>
      <c r="J275" s="100" t="s">
        <v>1078</v>
      </c>
      <c r="K275" s="33" t="s">
        <v>185</v>
      </c>
      <c r="L275" s="34" t="s">
        <v>1120</v>
      </c>
      <c r="M275" s="121" t="s">
        <v>263</v>
      </c>
      <c r="N275" s="27"/>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row>
    <row r="276">
      <c r="A276" s="147" t="s">
        <v>1080</v>
      </c>
      <c r="B276" s="97" t="s">
        <v>29</v>
      </c>
      <c r="C276" s="98" t="s">
        <v>77</v>
      </c>
      <c r="D276" s="98" t="s">
        <v>77</v>
      </c>
      <c r="E276" s="98" t="s">
        <v>77</v>
      </c>
      <c r="F276" s="13" t="s">
        <v>60</v>
      </c>
      <c r="G276" s="98"/>
      <c r="H276" s="105"/>
      <c r="I276" s="100" t="s">
        <v>1082</v>
      </c>
      <c r="J276" s="100" t="s">
        <v>1082</v>
      </c>
      <c r="K276" s="33" t="s">
        <v>170</v>
      </c>
      <c r="L276" s="49" t="s">
        <v>1121</v>
      </c>
      <c r="M276" s="17" t="s">
        <v>114</v>
      </c>
      <c r="N276" s="101"/>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row>
    <row r="277">
      <c r="A277" s="27"/>
      <c r="B277" s="27"/>
      <c r="C277" s="23"/>
      <c r="D277" s="23"/>
      <c r="E277" s="27"/>
      <c r="F277" s="27"/>
      <c r="G277" s="23"/>
      <c r="H277" s="105"/>
      <c r="I277" s="100" t="s">
        <v>1084</v>
      </c>
      <c r="J277" s="100" t="s">
        <v>1084</v>
      </c>
      <c r="K277" s="33" t="s">
        <v>185</v>
      </c>
      <c r="L277" s="140" t="s">
        <v>1122</v>
      </c>
      <c r="M277" s="17" t="s">
        <v>114</v>
      </c>
      <c r="N277" s="101"/>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row>
    <row r="278">
      <c r="A278" s="147" t="s">
        <v>1085</v>
      </c>
      <c r="B278" s="97" t="s">
        <v>12</v>
      </c>
      <c r="C278" s="98" t="s">
        <v>77</v>
      </c>
      <c r="D278" s="98" t="s">
        <v>77</v>
      </c>
      <c r="E278" s="98" t="s">
        <v>77</v>
      </c>
      <c r="F278" s="13" t="s">
        <v>60</v>
      </c>
      <c r="G278" s="98"/>
      <c r="H278" s="105"/>
      <c r="I278" s="100" t="s">
        <v>1087</v>
      </c>
      <c r="J278" s="100" t="s">
        <v>1087</v>
      </c>
      <c r="K278" s="33" t="s">
        <v>170</v>
      </c>
      <c r="L278" s="34" t="s">
        <v>1123</v>
      </c>
      <c r="M278" s="121" t="s">
        <v>263</v>
      </c>
      <c r="N278" s="110" t="s">
        <v>263</v>
      </c>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row>
    <row r="279">
      <c r="A279" s="27"/>
      <c r="B279" s="27"/>
      <c r="C279" s="23"/>
      <c r="D279" s="23"/>
      <c r="E279" s="27"/>
      <c r="F279" s="27"/>
      <c r="G279" s="23"/>
      <c r="H279" s="105"/>
      <c r="I279" s="100" t="s">
        <v>1088</v>
      </c>
      <c r="J279" s="100" t="s">
        <v>1088</v>
      </c>
      <c r="K279" s="33" t="s">
        <v>185</v>
      </c>
      <c r="L279" s="34" t="s">
        <v>1124</v>
      </c>
      <c r="M279" s="121" t="s">
        <v>263</v>
      </c>
      <c r="N279" s="27"/>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row>
    <row r="280">
      <c r="A280" s="147" t="s">
        <v>1090</v>
      </c>
      <c r="B280" s="97" t="s">
        <v>102</v>
      </c>
      <c r="C280" s="98" t="s">
        <v>77</v>
      </c>
      <c r="D280" s="98" t="s">
        <v>77</v>
      </c>
      <c r="E280" s="98" t="s">
        <v>77</v>
      </c>
      <c r="F280" s="13" t="s">
        <v>60</v>
      </c>
      <c r="G280" s="98"/>
      <c r="H280" s="105"/>
      <c r="I280" s="100" t="s">
        <v>1091</v>
      </c>
      <c r="J280" s="100" t="s">
        <v>1091</v>
      </c>
      <c r="K280" s="33" t="s">
        <v>170</v>
      </c>
      <c r="L280" s="34" t="s">
        <v>1125</v>
      </c>
      <c r="M280" s="18" t="s">
        <v>114</v>
      </c>
      <c r="N280" s="60" t="str">
        <f>"COMIENZA DICIENDO QUE ES EL RESUMEN DEL CURSO " &amp; B280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row>
    <row r="281">
      <c r="A281" s="27"/>
      <c r="B281" s="27"/>
      <c r="C281" s="23"/>
      <c r="D281" s="23"/>
      <c r="E281" s="27"/>
      <c r="F281" s="27"/>
      <c r="G281" s="27"/>
      <c r="H281" s="105"/>
      <c r="I281" s="100" t="s">
        <v>1093</v>
      </c>
      <c r="J281" s="100" t="s">
        <v>1093</v>
      </c>
      <c r="K281" s="33" t="s">
        <v>185</v>
      </c>
      <c r="L281" s="34" t="s">
        <v>1126</v>
      </c>
      <c r="M281" s="18" t="s">
        <v>114</v>
      </c>
      <c r="N281" s="125"/>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row>
  </sheetData>
  <customSheetViews>
    <customSheetView guid="{3C61FA8E-E23C-437E-A261-9905FC879972}" filter="1" showAutoFilter="1">
      <autoFilter ref="$A$1:$U$281">
        <filterColumn colId="2">
          <filters>
            <filter val="Si"/>
          </filters>
        </filterColumn>
        <filterColumn colId="5">
          <filters blank="1">
            <filter val="LOGISTICA MINERA"/>
            <filter val="GEO MINERA/ GESTIÓN AMBIENTAL SOSTENIBLE"/>
          </filters>
        </filterColumn>
      </autoFilter>
    </customSheetView>
    <customSheetView guid="{D153E402-02C2-4C3B-B0E1-FE5ACACAB6E1}" filter="1" showAutoFilter="1">
      <autoFilter ref="$A$1:$R$281">
        <filterColumn colId="5">
          <filters>
            <filter val="LOGISTICA MINERA"/>
          </filters>
        </filterColumn>
      </autoFilter>
    </customSheetView>
  </customSheetViews>
  <mergeCells count="549">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2:A5"/>
    <mergeCell ref="B2:B5"/>
    <mergeCell ref="C2:C5"/>
    <mergeCell ref="D2:D5"/>
    <mergeCell ref="E2:E5"/>
    <mergeCell ref="F2:F5"/>
    <mergeCell ref="G2:G5"/>
    <mergeCell ref="A6:A9"/>
    <mergeCell ref="B6:B9"/>
    <mergeCell ref="C6:C9"/>
    <mergeCell ref="D6:D9"/>
    <mergeCell ref="E6:E9"/>
    <mergeCell ref="F6:F9"/>
    <mergeCell ref="G6:G9"/>
    <mergeCell ref="A10:A13"/>
    <mergeCell ref="B10:B13"/>
    <mergeCell ref="C10:C13"/>
    <mergeCell ref="D10:D13"/>
    <mergeCell ref="E10:E13"/>
    <mergeCell ref="F10:F13"/>
    <mergeCell ref="G10:G13"/>
    <mergeCell ref="A14:A17"/>
    <mergeCell ref="B14:B17"/>
    <mergeCell ref="C14:C17"/>
    <mergeCell ref="D14:D17"/>
    <mergeCell ref="E14:E17"/>
    <mergeCell ref="F14:F17"/>
    <mergeCell ref="G14:G17"/>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A138:A141"/>
    <mergeCell ref="B138:B141"/>
    <mergeCell ref="C138:C141"/>
    <mergeCell ref="D138:D141"/>
    <mergeCell ref="E138:E141"/>
    <mergeCell ref="F138:F141"/>
    <mergeCell ref="G138:G141"/>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N114:N117"/>
    <mergeCell ref="N118:N121"/>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66:A169"/>
    <mergeCell ref="B166:B169"/>
    <mergeCell ref="C166:C169"/>
    <mergeCell ref="D166:D169"/>
    <mergeCell ref="E166:E169"/>
    <mergeCell ref="F166:F169"/>
    <mergeCell ref="G166:G169"/>
    <mergeCell ref="A170:A173"/>
    <mergeCell ref="B170:B173"/>
    <mergeCell ref="C170:C173"/>
    <mergeCell ref="D170:D173"/>
    <mergeCell ref="E170:E173"/>
    <mergeCell ref="F170:F173"/>
    <mergeCell ref="G170:G173"/>
    <mergeCell ref="A158:A161"/>
    <mergeCell ref="B158:B161"/>
    <mergeCell ref="C158:C161"/>
    <mergeCell ref="D158:D161"/>
    <mergeCell ref="E158:E161"/>
    <mergeCell ref="A162:A165"/>
    <mergeCell ref="B162:B165"/>
    <mergeCell ref="C162:C165"/>
    <mergeCell ref="D162:D165"/>
    <mergeCell ref="E162:E165"/>
    <mergeCell ref="F162:F165"/>
    <mergeCell ref="G162:G165"/>
    <mergeCell ref="A174:A177"/>
    <mergeCell ref="B174:B177"/>
    <mergeCell ref="C174:C177"/>
    <mergeCell ref="D174:D177"/>
    <mergeCell ref="E174:E177"/>
    <mergeCell ref="F174:F177"/>
    <mergeCell ref="G174:G177"/>
    <mergeCell ref="A178:A181"/>
    <mergeCell ref="B178:B181"/>
    <mergeCell ref="C178:C181"/>
    <mergeCell ref="D178:D181"/>
    <mergeCell ref="E178:E181"/>
    <mergeCell ref="F178:F181"/>
    <mergeCell ref="G178:G181"/>
    <mergeCell ref="B182:B185"/>
    <mergeCell ref="C182:C185"/>
    <mergeCell ref="D182:D185"/>
    <mergeCell ref="E182:E185"/>
    <mergeCell ref="F182:F185"/>
    <mergeCell ref="G182:G185"/>
    <mergeCell ref="N182:N185"/>
    <mergeCell ref="N186:N189"/>
    <mergeCell ref="A182:A185"/>
    <mergeCell ref="B186:B189"/>
    <mergeCell ref="C186:C189"/>
    <mergeCell ref="D186:D189"/>
    <mergeCell ref="E186:E189"/>
    <mergeCell ref="F186:F189"/>
    <mergeCell ref="G186:G189"/>
    <mergeCell ref="F142:F145"/>
    <mergeCell ref="G142:G145"/>
    <mergeCell ref="A142:A145"/>
    <mergeCell ref="B142:B145"/>
    <mergeCell ref="C142:C145"/>
    <mergeCell ref="D142:D145"/>
    <mergeCell ref="E142:E145"/>
    <mergeCell ref="A150:A153"/>
    <mergeCell ref="B150:B153"/>
    <mergeCell ref="C150:C153"/>
    <mergeCell ref="D150:D153"/>
    <mergeCell ref="E150:E153"/>
    <mergeCell ref="F150:F153"/>
    <mergeCell ref="G150:G153"/>
    <mergeCell ref="N150:N153"/>
    <mergeCell ref="A146:A149"/>
    <mergeCell ref="B146:B149"/>
    <mergeCell ref="C146:C149"/>
    <mergeCell ref="D146:D149"/>
    <mergeCell ref="E146:E149"/>
    <mergeCell ref="F146:F149"/>
    <mergeCell ref="G146:G149"/>
    <mergeCell ref="A154:A157"/>
    <mergeCell ref="B154:B157"/>
    <mergeCell ref="C154:C157"/>
    <mergeCell ref="D154:D157"/>
    <mergeCell ref="E154:E157"/>
    <mergeCell ref="F154:F157"/>
    <mergeCell ref="G154:G157"/>
    <mergeCell ref="F158:F161"/>
    <mergeCell ref="G158:G161"/>
    <mergeCell ref="N158:N161"/>
    <mergeCell ref="G190:G193"/>
    <mergeCell ref="N190:N193"/>
    <mergeCell ref="A214:A217"/>
    <mergeCell ref="B214:B217"/>
    <mergeCell ref="C214:C217"/>
    <mergeCell ref="D214:D217"/>
    <mergeCell ref="E214:E217"/>
    <mergeCell ref="F214:F217"/>
    <mergeCell ref="G214:G217"/>
    <mergeCell ref="N214:N217"/>
    <mergeCell ref="N226:N229"/>
    <mergeCell ref="N234:N237"/>
    <mergeCell ref="N238:N241"/>
    <mergeCell ref="N262:N263"/>
    <mergeCell ref="N264:N265"/>
    <mergeCell ref="N272:N273"/>
    <mergeCell ref="N274:N275"/>
    <mergeCell ref="N278:N279"/>
    <mergeCell ref="B218:B221"/>
    <mergeCell ref="C218:C221"/>
    <mergeCell ref="D218:D221"/>
    <mergeCell ref="E218:E221"/>
    <mergeCell ref="F218:F221"/>
    <mergeCell ref="G218:G221"/>
    <mergeCell ref="N218:N221"/>
    <mergeCell ref="A218:A221"/>
    <mergeCell ref="B222:B225"/>
    <mergeCell ref="C222:C225"/>
    <mergeCell ref="D222:D225"/>
    <mergeCell ref="E222:E225"/>
    <mergeCell ref="F222:F225"/>
    <mergeCell ref="G222:G225"/>
    <mergeCell ref="A222:A225"/>
    <mergeCell ref="B226:B229"/>
    <mergeCell ref="C226:C229"/>
    <mergeCell ref="D226:D229"/>
    <mergeCell ref="E226:E229"/>
    <mergeCell ref="F226:F229"/>
    <mergeCell ref="G226:G229"/>
    <mergeCell ref="A234:A237"/>
    <mergeCell ref="B238:B241"/>
    <mergeCell ref="C238:C241"/>
    <mergeCell ref="D238:D241"/>
    <mergeCell ref="E238:E241"/>
    <mergeCell ref="F238:F241"/>
    <mergeCell ref="G238:G241"/>
    <mergeCell ref="A238:A241"/>
    <mergeCell ref="B242:B243"/>
    <mergeCell ref="C242:C243"/>
    <mergeCell ref="D242:D243"/>
    <mergeCell ref="E242:E243"/>
    <mergeCell ref="F242:F243"/>
    <mergeCell ref="G242:G243"/>
    <mergeCell ref="A250:A251"/>
    <mergeCell ref="B252:B261"/>
    <mergeCell ref="C252:C261"/>
    <mergeCell ref="D252:D261"/>
    <mergeCell ref="E252:E261"/>
    <mergeCell ref="F252:F261"/>
    <mergeCell ref="G252:G261"/>
    <mergeCell ref="A252:A261"/>
    <mergeCell ref="B262:B263"/>
    <mergeCell ref="C262:C263"/>
    <mergeCell ref="D262:D263"/>
    <mergeCell ref="E262:E263"/>
    <mergeCell ref="F262:F263"/>
    <mergeCell ref="G262:G263"/>
    <mergeCell ref="A186:A189"/>
    <mergeCell ref="A190:A193"/>
    <mergeCell ref="B190:B193"/>
    <mergeCell ref="C190:C193"/>
    <mergeCell ref="D190:D193"/>
    <mergeCell ref="E190:E193"/>
    <mergeCell ref="F190:F193"/>
    <mergeCell ref="A194:A197"/>
    <mergeCell ref="B194:B197"/>
    <mergeCell ref="C194:C197"/>
    <mergeCell ref="D194:D197"/>
    <mergeCell ref="E194:E197"/>
    <mergeCell ref="F194:F197"/>
    <mergeCell ref="G194:G197"/>
    <mergeCell ref="A198:A201"/>
    <mergeCell ref="B198:B201"/>
    <mergeCell ref="C198:C201"/>
    <mergeCell ref="D198:D201"/>
    <mergeCell ref="E198:E201"/>
    <mergeCell ref="F198:F201"/>
    <mergeCell ref="G198:G201"/>
    <mergeCell ref="A202:A205"/>
    <mergeCell ref="B202:B205"/>
    <mergeCell ref="C202:C205"/>
    <mergeCell ref="D202:D205"/>
    <mergeCell ref="E202:E205"/>
    <mergeCell ref="F202:F205"/>
    <mergeCell ref="G202:G205"/>
    <mergeCell ref="A206:A209"/>
    <mergeCell ref="B206:B209"/>
    <mergeCell ref="C206:C209"/>
    <mergeCell ref="D206:D209"/>
    <mergeCell ref="E206:E209"/>
    <mergeCell ref="F206:F209"/>
    <mergeCell ref="G206:G209"/>
    <mergeCell ref="A210:A213"/>
    <mergeCell ref="B210:B213"/>
    <mergeCell ref="C210:C213"/>
    <mergeCell ref="D210:D213"/>
    <mergeCell ref="E210:E213"/>
    <mergeCell ref="F210:F213"/>
    <mergeCell ref="G210:G213"/>
    <mergeCell ref="A278:A279"/>
    <mergeCell ref="A280:A281"/>
    <mergeCell ref="B280:B281"/>
    <mergeCell ref="C280:C281"/>
    <mergeCell ref="D280:D281"/>
    <mergeCell ref="E280:E281"/>
    <mergeCell ref="F280:F281"/>
    <mergeCell ref="G280:G281"/>
    <mergeCell ref="A226:A229"/>
    <mergeCell ref="B230:B233"/>
    <mergeCell ref="C230:C233"/>
    <mergeCell ref="D230:D233"/>
    <mergeCell ref="E230:E233"/>
    <mergeCell ref="F230:F233"/>
    <mergeCell ref="G230:G233"/>
    <mergeCell ref="A230:A233"/>
    <mergeCell ref="B234:B237"/>
    <mergeCell ref="C234:C237"/>
    <mergeCell ref="D234:D237"/>
    <mergeCell ref="E234:E237"/>
    <mergeCell ref="F234:F237"/>
    <mergeCell ref="G234:G237"/>
    <mergeCell ref="A242:A243"/>
    <mergeCell ref="B244:B245"/>
    <mergeCell ref="C244:C245"/>
    <mergeCell ref="D244:D245"/>
    <mergeCell ref="E244:E245"/>
    <mergeCell ref="F244:F245"/>
    <mergeCell ref="G244:G245"/>
    <mergeCell ref="A244:A245"/>
    <mergeCell ref="B246:B247"/>
    <mergeCell ref="C246:C247"/>
    <mergeCell ref="D246:D247"/>
    <mergeCell ref="E246:E247"/>
    <mergeCell ref="F246:F247"/>
    <mergeCell ref="G246:G247"/>
    <mergeCell ref="A246:A247"/>
    <mergeCell ref="B248:B249"/>
    <mergeCell ref="C248:C249"/>
    <mergeCell ref="D248:D249"/>
    <mergeCell ref="E248:E249"/>
    <mergeCell ref="F248:F249"/>
    <mergeCell ref="G248:G249"/>
    <mergeCell ref="A248:A249"/>
    <mergeCell ref="B250:B251"/>
    <mergeCell ref="C250:C251"/>
    <mergeCell ref="D250:D251"/>
    <mergeCell ref="E250:E251"/>
    <mergeCell ref="F250:F251"/>
    <mergeCell ref="G250:G251"/>
    <mergeCell ref="A262:A263"/>
    <mergeCell ref="B264:B265"/>
    <mergeCell ref="C264:C265"/>
    <mergeCell ref="D264:D265"/>
    <mergeCell ref="E264:E265"/>
    <mergeCell ref="F264:F265"/>
    <mergeCell ref="G264:G265"/>
    <mergeCell ref="A264:A265"/>
    <mergeCell ref="B266:B267"/>
    <mergeCell ref="C266:C267"/>
    <mergeCell ref="D266:D267"/>
    <mergeCell ref="E266:E267"/>
    <mergeCell ref="F266:F267"/>
    <mergeCell ref="G266:G267"/>
    <mergeCell ref="A266:A267"/>
    <mergeCell ref="B268:B269"/>
    <mergeCell ref="C268:C269"/>
    <mergeCell ref="D268:D269"/>
    <mergeCell ref="E268:E269"/>
    <mergeCell ref="F268:F269"/>
    <mergeCell ref="G268:G269"/>
    <mergeCell ref="A268:A269"/>
    <mergeCell ref="B270:B271"/>
    <mergeCell ref="C270:C271"/>
    <mergeCell ref="D270:D271"/>
    <mergeCell ref="E270:E271"/>
    <mergeCell ref="F270:F271"/>
    <mergeCell ref="G270:G271"/>
    <mergeCell ref="A270:A271"/>
    <mergeCell ref="B272:B273"/>
    <mergeCell ref="C272:C273"/>
    <mergeCell ref="D272:D273"/>
    <mergeCell ref="E272:E273"/>
    <mergeCell ref="F272:F273"/>
    <mergeCell ref="G272:G273"/>
    <mergeCell ref="A272:A273"/>
    <mergeCell ref="B274:B275"/>
    <mergeCell ref="C274:C275"/>
    <mergeCell ref="D274:D275"/>
    <mergeCell ref="E274:E275"/>
    <mergeCell ref="F274:F275"/>
    <mergeCell ref="G274:G275"/>
    <mergeCell ref="A274:A275"/>
    <mergeCell ref="B276:B277"/>
    <mergeCell ref="C276:C277"/>
    <mergeCell ref="D276:D277"/>
    <mergeCell ref="E276:E277"/>
    <mergeCell ref="F276:F277"/>
    <mergeCell ref="G276:G277"/>
    <mergeCell ref="A276:A277"/>
    <mergeCell ref="B278:B279"/>
    <mergeCell ref="C278:C279"/>
    <mergeCell ref="D278:D279"/>
    <mergeCell ref="E278:E279"/>
    <mergeCell ref="F278:F279"/>
    <mergeCell ref="G278:G279"/>
  </mergeCells>
  <dataValidations>
    <dataValidation type="list" allowBlank="1" sqref="F2 F6 F10 F14 F18 F22 F26 F30 F34 F38 F42 F46 F50 F54 F58 F62 F66 F70 F74 F78 F82 F86 F90 F94 F98 F102 F106 F110 F114 F118 F122 F126 F130 F134 F138 F142 F146 F150 F154 F158 F162 F166 F170 F174 F178 F182 F186 F190 F194 F198 F202 F206 F210 F214 F218 F222 F226 F230 F234 F238 F242 F244 F246 F248 F250 F252 F262 F264 F266 F268 F270 F272 F274 F276 F278 F280">
      <formula1>"GESTIÓN AMBIENTAL SOSTENIBLE ,SEGURIDAD Y MINERÍA INTELIGENTE ,LOGISTICA MINERA,GEO MINERA,GESTIÓN MINERA"</formula1>
    </dataValidation>
    <dataValidation type="list" allowBlank="1" sqref="C2:E2 G2 C6:E6 G6 C10:E10 G10 C14:E14 G14 C18:E18 G18 C22:E22 G22 C26:E26 G26 C30:E30 G30 C34:E34 G34 C38:E38 G38 C42:E42 G42 C46:E46 G46 C50:E50 G50 C54:E54 G54 C58:E58 G58 C62:E62 G62 C66:E66 G66 C70:E70 G70 C74:E74 G74 C78:E78 G78 C82:E82 G82 C86:E86 G86 C90:E90 G90 C94:E94 G94 C98:E98 G98 C102:E102 G102 C106:E106 G106 C110:E110 G110 C114:E114 G114 C118:E118 G118 C122:E122 G122 C126:E126 G126 C130:E130 G130 C134:E134 G134 C138:E138 G138 C142:E142 G142 C146:E146 G146 C150:E150 G150 C154:E154 G154 C158:E158 G158 C162:E162 G162 C166:E166 G166 C170:E170 G170 C174:E174 G174 C178:E178 G178 C182:E182 G182 C186:E186 G186 C190:E190 G190 C194:E194 G194 C198:E198 G198 C202:E202 G202 C206:E206 G206 C210:E210 G210 C214:E214 G214 C218:E218 G218 C222:E222 G222 C226:E226 G226 C230:E230 G230 C234:E234 G234 C238:E238 G238 C242:E242 G242 C244:E244 G244 C246:E246 G246 C248:E248 G248 C250:E250 G250 C252:E252 G252 C262:E262 G262 C264:E264 G264 C266:E266 G266 C268:E268 G268 C270:E270 G270 C272:E272 G272 C274:E274 G274 C276:E276 G276 C278:E278 G278 C280:E280 G280">
      <formula1>"Si,No subir,No se matriculará"</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H23"/>
    <hyperlink r:id="rId23" ref="J23"/>
    <hyperlink r:id="rId24" ref="J24"/>
    <hyperlink r:id="rId25" ref="J25"/>
    <hyperlink r:id="rId26" ref="J26"/>
    <hyperlink r:id="rId27" ref="H27"/>
    <hyperlink r:id="rId28" ref="J27"/>
    <hyperlink r:id="rId29" ref="J28"/>
    <hyperlink r:id="rId30" ref="J29"/>
    <hyperlink r:id="rId31" ref="J30"/>
    <hyperlink r:id="rId32" ref="J31"/>
    <hyperlink r:id="rId33" ref="J32"/>
    <hyperlink r:id="rId34" ref="J33"/>
    <hyperlink r:id="rId35" ref="J34"/>
    <hyperlink r:id="rId36" ref="J35"/>
    <hyperlink r:id="rId37" ref="J36"/>
    <hyperlink r:id="rId38" ref="J37"/>
    <hyperlink r:id="rId39" ref="J38"/>
    <hyperlink r:id="rId40" ref="J39"/>
    <hyperlink r:id="rId41" ref="J40"/>
    <hyperlink r:id="rId42" ref="J41"/>
    <hyperlink r:id="rId43" ref="H42"/>
    <hyperlink r:id="rId44" ref="J42"/>
    <hyperlink r:id="rId45" ref="J43"/>
    <hyperlink r:id="rId46" ref="J44"/>
    <hyperlink r:id="rId47" ref="J45"/>
    <hyperlink r:id="rId48" ref="J46"/>
    <hyperlink r:id="rId49" ref="J47"/>
    <hyperlink r:id="rId50" ref="J48"/>
    <hyperlink r:id="rId51" ref="J49"/>
    <hyperlink r:id="rId52" ref="J50"/>
    <hyperlink r:id="rId53" ref="J51"/>
    <hyperlink r:id="rId54" ref="J52"/>
    <hyperlink r:id="rId55" ref="J53"/>
    <hyperlink r:id="rId56" ref="H54"/>
    <hyperlink r:id="rId57" ref="J54"/>
    <hyperlink r:id="rId58" ref="J55"/>
    <hyperlink r:id="rId59" ref="J56"/>
    <hyperlink r:id="rId60" ref="J57"/>
    <hyperlink r:id="rId61" ref="H58"/>
    <hyperlink r:id="rId62" ref="J58"/>
    <hyperlink r:id="rId63" ref="J59"/>
    <hyperlink r:id="rId64" ref="J60"/>
    <hyperlink r:id="rId65" ref="J61"/>
    <hyperlink r:id="rId66" ref="J62"/>
    <hyperlink r:id="rId67" ref="H63"/>
    <hyperlink r:id="rId68" ref="J63"/>
    <hyperlink r:id="rId69" ref="J64"/>
    <hyperlink r:id="rId70" ref="J65"/>
    <hyperlink r:id="rId71" ref="J66"/>
    <hyperlink r:id="rId72" ref="J67"/>
    <hyperlink r:id="rId73" ref="J68"/>
    <hyperlink r:id="rId74" ref="J69"/>
    <hyperlink r:id="rId75" ref="H70"/>
    <hyperlink r:id="rId76" ref="J70"/>
    <hyperlink r:id="rId77" ref="J71"/>
    <hyperlink r:id="rId78" ref="J72"/>
    <hyperlink r:id="rId79" ref="J73"/>
    <hyperlink r:id="rId80" ref="J74"/>
    <hyperlink r:id="rId81" ref="J75"/>
    <hyperlink r:id="rId82" ref="J76"/>
    <hyperlink r:id="rId83" ref="J77"/>
    <hyperlink r:id="rId84" ref="H78"/>
    <hyperlink r:id="rId85" ref="J78"/>
    <hyperlink r:id="rId86" ref="J79"/>
    <hyperlink r:id="rId87" ref="J80"/>
    <hyperlink r:id="rId88" ref="J81"/>
    <hyperlink r:id="rId89" ref="J82"/>
    <hyperlink r:id="rId90" ref="J83"/>
    <hyperlink r:id="rId91" ref="J84"/>
    <hyperlink r:id="rId92" ref="J85"/>
    <hyperlink r:id="rId93" ref="J86"/>
    <hyperlink r:id="rId94" ref="J87"/>
    <hyperlink r:id="rId95" ref="J88"/>
    <hyperlink r:id="rId96" ref="J89"/>
    <hyperlink r:id="rId97" ref="H90"/>
    <hyperlink r:id="rId98" ref="J90"/>
    <hyperlink r:id="rId99" ref="H91"/>
    <hyperlink r:id="rId100" ref="J91"/>
    <hyperlink r:id="rId101" ref="J94"/>
    <hyperlink r:id="rId102" ref="J95"/>
    <hyperlink r:id="rId103" ref="J96"/>
    <hyperlink r:id="rId104" ref="J97"/>
    <hyperlink r:id="rId105" ref="J98"/>
    <hyperlink r:id="rId106" ref="J99"/>
    <hyperlink r:id="rId107" ref="J100"/>
    <hyperlink r:id="rId108" ref="J101"/>
    <hyperlink r:id="rId109" ref="J102"/>
    <hyperlink r:id="rId110" ref="H103"/>
    <hyperlink r:id="rId111" ref="J103"/>
    <hyperlink r:id="rId112" ref="J104"/>
    <hyperlink r:id="rId113" ref="J105"/>
    <hyperlink r:id="rId114" ref="J106"/>
    <hyperlink r:id="rId115" ref="J107"/>
    <hyperlink r:id="rId116" ref="J108"/>
    <hyperlink r:id="rId117" ref="J109"/>
    <hyperlink r:id="rId118" ref="J110"/>
    <hyperlink r:id="rId119" ref="J111"/>
    <hyperlink r:id="rId120" ref="J112"/>
    <hyperlink r:id="rId121" ref="H113"/>
    <hyperlink r:id="rId122" ref="J113"/>
    <hyperlink r:id="rId123" ref="H114"/>
    <hyperlink r:id="rId124" ref="J114"/>
    <hyperlink r:id="rId125" ref="J115"/>
    <hyperlink r:id="rId126" ref="J116"/>
    <hyperlink r:id="rId127" ref="J117"/>
    <hyperlink r:id="rId128" ref="J118"/>
    <hyperlink r:id="rId129" ref="H119"/>
    <hyperlink r:id="rId130" ref="J119"/>
    <hyperlink r:id="rId131" ref="J120"/>
    <hyperlink r:id="rId132" ref="J121"/>
    <hyperlink r:id="rId133" ref="J122"/>
    <hyperlink r:id="rId134" ref="J123"/>
    <hyperlink r:id="rId135" ref="J124"/>
    <hyperlink r:id="rId136" ref="J125"/>
    <hyperlink r:id="rId137" ref="J126"/>
    <hyperlink r:id="rId138" ref="J127"/>
    <hyperlink r:id="rId139" ref="J128"/>
    <hyperlink r:id="rId140" ref="J129"/>
    <hyperlink r:id="rId141" ref="H130"/>
    <hyperlink r:id="rId142" ref="J130"/>
    <hyperlink r:id="rId143" ref="H131"/>
    <hyperlink r:id="rId144" ref="J131"/>
    <hyperlink r:id="rId145" ref="H132"/>
    <hyperlink r:id="rId146" ref="J132"/>
    <hyperlink r:id="rId147" ref="H133"/>
    <hyperlink r:id="rId148" ref="J133"/>
    <hyperlink r:id="rId149" ref="J134"/>
    <hyperlink r:id="rId150" ref="J135"/>
    <hyperlink r:id="rId151" ref="J136"/>
    <hyperlink r:id="rId152" ref="J137"/>
    <hyperlink r:id="rId153" ref="J139"/>
    <hyperlink r:id="rId154" ref="H140"/>
    <hyperlink r:id="rId155" ref="J140"/>
    <hyperlink r:id="rId156" ref="J141"/>
    <hyperlink r:id="rId157" ref="J142"/>
    <hyperlink r:id="rId158" ref="J143"/>
    <hyperlink r:id="rId159" ref="J144"/>
    <hyperlink r:id="rId160" ref="H146"/>
    <hyperlink r:id="rId161" ref="J146"/>
    <hyperlink r:id="rId162" ref="H147"/>
    <hyperlink r:id="rId163" ref="J147"/>
    <hyperlink r:id="rId164" ref="H150"/>
    <hyperlink r:id="rId165" ref="J150"/>
    <hyperlink r:id="rId166" ref="J151"/>
    <hyperlink r:id="rId167" ref="J152"/>
    <hyperlink r:id="rId168" ref="J153"/>
    <hyperlink r:id="rId169" ref="H154"/>
    <hyperlink r:id="rId170" ref="J154"/>
    <hyperlink r:id="rId171" ref="J155"/>
    <hyperlink r:id="rId172" ref="J156"/>
    <hyperlink r:id="rId173" ref="J157"/>
    <hyperlink r:id="rId174" ref="J158"/>
    <hyperlink r:id="rId175" ref="J159"/>
    <hyperlink r:id="rId176" ref="J160"/>
    <hyperlink r:id="rId177" ref="J161"/>
    <hyperlink r:id="rId178" ref="H162"/>
    <hyperlink r:id="rId179" ref="J162"/>
    <hyperlink r:id="rId180" ref="H163"/>
    <hyperlink r:id="rId181" ref="J163"/>
    <hyperlink r:id="rId182" ref="J164"/>
    <hyperlink r:id="rId183" ref="J165"/>
    <hyperlink r:id="rId184" ref="J166"/>
    <hyperlink r:id="rId185" ref="J167"/>
    <hyperlink r:id="rId186" ref="J168"/>
    <hyperlink r:id="rId187" ref="J169"/>
    <hyperlink r:id="rId188" ref="J170"/>
    <hyperlink r:id="rId189" ref="J171"/>
    <hyperlink r:id="rId190" ref="J172"/>
    <hyperlink r:id="rId191" ref="J173"/>
    <hyperlink r:id="rId192" ref="J174"/>
    <hyperlink r:id="rId193" ref="J175"/>
    <hyperlink r:id="rId194" ref="J176"/>
    <hyperlink r:id="rId195" ref="J177"/>
    <hyperlink r:id="rId196" ref="J178"/>
    <hyperlink r:id="rId197" ref="J179"/>
    <hyperlink r:id="rId198" ref="J180"/>
    <hyperlink r:id="rId199" ref="J181"/>
    <hyperlink r:id="rId200" ref="J182"/>
    <hyperlink r:id="rId201" ref="J183"/>
    <hyperlink r:id="rId202" ref="J184"/>
    <hyperlink r:id="rId203" ref="J185"/>
    <hyperlink r:id="rId204" ref="J186"/>
    <hyperlink r:id="rId205" ref="J187"/>
    <hyperlink r:id="rId206" ref="J188"/>
    <hyperlink r:id="rId207" ref="J189"/>
    <hyperlink r:id="rId208" ref="H190"/>
    <hyperlink r:id="rId209" ref="J190"/>
    <hyperlink r:id="rId210" ref="J191"/>
    <hyperlink r:id="rId211" ref="J192"/>
    <hyperlink r:id="rId212" ref="J193"/>
    <hyperlink r:id="rId213" ref="H194"/>
    <hyperlink r:id="rId214" ref="J194"/>
    <hyperlink r:id="rId215" ref="J195"/>
    <hyperlink r:id="rId216" ref="H196"/>
    <hyperlink r:id="rId217" ref="J196"/>
    <hyperlink r:id="rId218" ref="J197"/>
    <hyperlink r:id="rId219" ref="J198"/>
    <hyperlink r:id="rId220" ref="H199"/>
    <hyperlink r:id="rId221" ref="J199"/>
    <hyperlink r:id="rId222" ref="H200"/>
    <hyperlink r:id="rId223" ref="J200"/>
    <hyperlink r:id="rId224" ref="H202"/>
    <hyperlink r:id="rId225" ref="J202"/>
    <hyperlink r:id="rId226" ref="J203"/>
    <hyperlink r:id="rId227" ref="J204"/>
    <hyperlink r:id="rId228" ref="J205"/>
    <hyperlink r:id="rId229" ref="J206"/>
    <hyperlink r:id="rId230" ref="J207"/>
    <hyperlink r:id="rId231" ref="J208"/>
    <hyperlink r:id="rId232" ref="J209"/>
    <hyperlink r:id="rId233" ref="J210"/>
    <hyperlink r:id="rId234" ref="J211"/>
    <hyperlink r:id="rId235" ref="J212"/>
    <hyperlink r:id="rId236" ref="J213"/>
    <hyperlink r:id="rId237" ref="J214"/>
    <hyperlink r:id="rId238" ref="J215"/>
    <hyperlink r:id="rId239" ref="J216"/>
    <hyperlink r:id="rId240" ref="J217"/>
    <hyperlink r:id="rId241" ref="J218"/>
    <hyperlink r:id="rId242" ref="J219"/>
    <hyperlink r:id="rId243" ref="J220"/>
    <hyperlink r:id="rId244" ref="J221"/>
    <hyperlink r:id="rId245" ref="J222"/>
    <hyperlink r:id="rId246" ref="J223"/>
    <hyperlink r:id="rId247" ref="J224"/>
    <hyperlink r:id="rId248" ref="J225"/>
    <hyperlink r:id="rId249" ref="J226"/>
    <hyperlink r:id="rId250" ref="J227"/>
    <hyperlink r:id="rId251" ref="J228"/>
    <hyperlink r:id="rId252" ref="H229"/>
    <hyperlink r:id="rId253" ref="J229"/>
    <hyperlink r:id="rId254" ref="J230"/>
    <hyperlink r:id="rId255" ref="J231"/>
    <hyperlink r:id="rId256" ref="J232"/>
    <hyperlink r:id="rId257" ref="J234"/>
    <hyperlink r:id="rId258" ref="H235"/>
    <hyperlink r:id="rId259" ref="J235"/>
    <hyperlink r:id="rId260" ref="J236"/>
    <hyperlink r:id="rId261" ref="J237"/>
    <hyperlink r:id="rId262" ref="H238"/>
    <hyperlink r:id="rId263" ref="J238"/>
    <hyperlink r:id="rId264" ref="H239"/>
    <hyperlink r:id="rId265" ref="J239"/>
    <hyperlink r:id="rId266" ref="H240"/>
    <hyperlink r:id="rId267" ref="J240"/>
    <hyperlink r:id="rId268" ref="J241"/>
    <hyperlink r:id="rId269" ref="J242"/>
    <hyperlink r:id="rId270" ref="H243"/>
    <hyperlink r:id="rId271" ref="J243"/>
    <hyperlink r:id="rId272" ref="J244"/>
    <hyperlink r:id="rId273" ref="J245"/>
    <hyperlink r:id="rId274" ref="J246"/>
    <hyperlink r:id="rId275" ref="H247"/>
    <hyperlink r:id="rId276" ref="J247"/>
    <hyperlink r:id="rId277" ref="J248"/>
    <hyperlink r:id="rId278" ref="J249"/>
    <hyperlink r:id="rId279" ref="J250"/>
    <hyperlink r:id="rId280" ref="J251"/>
    <hyperlink r:id="rId281" ref="J252"/>
    <hyperlink r:id="rId282" ref="J253"/>
    <hyperlink r:id="rId283" ref="J254"/>
    <hyperlink r:id="rId284" ref="J255"/>
    <hyperlink r:id="rId285" ref="J256"/>
    <hyperlink r:id="rId286" ref="J257"/>
    <hyperlink r:id="rId287" ref="J258"/>
    <hyperlink r:id="rId288" ref="J259"/>
    <hyperlink r:id="rId289" ref="J260"/>
    <hyperlink r:id="rId290" ref="J261"/>
    <hyperlink r:id="rId291" ref="H262"/>
    <hyperlink r:id="rId292" ref="J262"/>
    <hyperlink r:id="rId293" ref="J263"/>
    <hyperlink r:id="rId294" ref="J264"/>
    <hyperlink r:id="rId295" ref="J265"/>
    <hyperlink r:id="rId296" ref="I266"/>
    <hyperlink r:id="rId297" ref="J266"/>
    <hyperlink r:id="rId298" ref="I267"/>
    <hyperlink r:id="rId299" ref="J267"/>
    <hyperlink r:id="rId300" ref="I268"/>
    <hyperlink r:id="rId301" ref="J268"/>
    <hyperlink r:id="rId302" ref="I269"/>
    <hyperlink r:id="rId303" ref="J269"/>
    <hyperlink r:id="rId304" ref="I270"/>
    <hyperlink r:id="rId305" ref="J270"/>
    <hyperlink r:id="rId306" ref="I271"/>
    <hyperlink r:id="rId307" ref="J271"/>
    <hyperlink r:id="rId308" ref="I272"/>
    <hyperlink r:id="rId309" ref="J272"/>
    <hyperlink r:id="rId310" ref="I273"/>
    <hyperlink r:id="rId311" ref="J273"/>
    <hyperlink r:id="rId312" ref="J274"/>
    <hyperlink r:id="rId313" ref="J275"/>
    <hyperlink r:id="rId314" ref="I276"/>
    <hyperlink r:id="rId315" ref="J276"/>
    <hyperlink r:id="rId316" ref="I277"/>
    <hyperlink r:id="rId317" ref="J277"/>
    <hyperlink r:id="rId318" ref="I278"/>
    <hyperlink r:id="rId319" ref="J278"/>
    <hyperlink r:id="rId320" ref="I279"/>
    <hyperlink r:id="rId321" ref="J279"/>
    <hyperlink r:id="rId322" ref="I280"/>
    <hyperlink r:id="rId323" ref="J280"/>
    <hyperlink r:id="rId324" ref="I281"/>
    <hyperlink r:id="rId325" ref="J281"/>
  </hyperlinks>
  <printOptions/>
  <pageMargins bottom="0.75" footer="0.0" header="0.0" left="0.7" right="0.7" top="0.75"/>
  <pageSetup orientation="landscape"/>
  <drawing r:id="rId3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5"/>
  </cols>
  <sheetData>
    <row r="1">
      <c r="A1" s="1" t="s">
        <v>0</v>
      </c>
      <c r="B1" s="2">
        <f t="shared" ref="B1:B88" si="1">LEN(A1)</f>
        <v>5</v>
      </c>
    </row>
    <row r="2">
      <c r="A2" s="1" t="s">
        <v>1</v>
      </c>
      <c r="B2" s="2">
        <f t="shared" si="1"/>
        <v>96</v>
      </c>
    </row>
    <row r="3">
      <c r="A3" s="1" t="s">
        <v>2</v>
      </c>
      <c r="B3" s="2">
        <f t="shared" si="1"/>
        <v>91</v>
      </c>
    </row>
    <row r="4">
      <c r="A4" s="1" t="s">
        <v>3</v>
      </c>
      <c r="B4" s="2">
        <f t="shared" si="1"/>
        <v>88</v>
      </c>
    </row>
    <row r="5">
      <c r="A5" s="1" t="s">
        <v>4</v>
      </c>
      <c r="B5" s="2">
        <f t="shared" si="1"/>
        <v>77</v>
      </c>
    </row>
    <row r="6">
      <c r="A6" s="1" t="s">
        <v>5</v>
      </c>
      <c r="B6" s="2">
        <f t="shared" si="1"/>
        <v>76</v>
      </c>
    </row>
    <row r="7">
      <c r="A7" s="1" t="s">
        <v>6</v>
      </c>
      <c r="B7" s="2">
        <f t="shared" si="1"/>
        <v>74</v>
      </c>
    </row>
    <row r="8">
      <c r="A8" s="1" t="s">
        <v>7</v>
      </c>
      <c r="B8" s="2">
        <f t="shared" si="1"/>
        <v>70</v>
      </c>
    </row>
    <row r="9">
      <c r="A9" s="1" t="s">
        <v>8</v>
      </c>
      <c r="B9" s="2">
        <f t="shared" si="1"/>
        <v>68</v>
      </c>
    </row>
    <row r="10">
      <c r="A10" s="1" t="s">
        <v>9</v>
      </c>
      <c r="B10" s="2">
        <f t="shared" si="1"/>
        <v>67</v>
      </c>
    </row>
    <row r="11">
      <c r="A11" s="1" t="s">
        <v>10</v>
      </c>
      <c r="B11" s="2">
        <f t="shared" si="1"/>
        <v>67</v>
      </c>
    </row>
    <row r="12">
      <c r="A12" s="1" t="s">
        <v>11</v>
      </c>
      <c r="B12" s="2">
        <f t="shared" si="1"/>
        <v>66</v>
      </c>
    </row>
    <row r="13">
      <c r="A13" s="1" t="s">
        <v>12</v>
      </c>
      <c r="B13" s="2">
        <f t="shared" si="1"/>
        <v>66</v>
      </c>
    </row>
    <row r="14">
      <c r="A14" s="1" t="s">
        <v>13</v>
      </c>
      <c r="B14" s="2">
        <f t="shared" si="1"/>
        <v>66</v>
      </c>
    </row>
    <row r="15">
      <c r="A15" s="1" t="s">
        <v>14</v>
      </c>
      <c r="B15" s="2">
        <f t="shared" si="1"/>
        <v>62</v>
      </c>
    </row>
    <row r="16">
      <c r="A16" s="1" t="s">
        <v>15</v>
      </c>
      <c r="B16" s="2">
        <f t="shared" si="1"/>
        <v>62</v>
      </c>
    </row>
    <row r="17">
      <c r="A17" s="1" t="s">
        <v>16</v>
      </c>
      <c r="B17" s="2">
        <f t="shared" si="1"/>
        <v>61</v>
      </c>
    </row>
    <row r="18">
      <c r="A18" s="1" t="s">
        <v>17</v>
      </c>
      <c r="B18" s="2">
        <f t="shared" si="1"/>
        <v>61</v>
      </c>
    </row>
    <row r="19">
      <c r="A19" s="1" t="s">
        <v>18</v>
      </c>
      <c r="B19" s="2">
        <f t="shared" si="1"/>
        <v>61</v>
      </c>
    </row>
    <row r="20">
      <c r="A20" s="1" t="s">
        <v>19</v>
      </c>
      <c r="B20" s="2">
        <f t="shared" si="1"/>
        <v>60</v>
      </c>
    </row>
    <row r="21">
      <c r="A21" s="1" t="s">
        <v>21</v>
      </c>
      <c r="B21" s="2">
        <f t="shared" si="1"/>
        <v>60</v>
      </c>
    </row>
    <row r="22">
      <c r="A22" s="1" t="s">
        <v>22</v>
      </c>
      <c r="B22" s="2">
        <f t="shared" si="1"/>
        <v>59</v>
      </c>
    </row>
    <row r="23">
      <c r="A23" s="1" t="s">
        <v>23</v>
      </c>
      <c r="B23" s="2">
        <f t="shared" si="1"/>
        <v>58</v>
      </c>
    </row>
    <row r="24">
      <c r="A24" s="1" t="s">
        <v>24</v>
      </c>
      <c r="B24" s="2">
        <f t="shared" si="1"/>
        <v>58</v>
      </c>
    </row>
    <row r="25">
      <c r="A25" s="1" t="s">
        <v>25</v>
      </c>
      <c r="B25" s="2">
        <f t="shared" si="1"/>
        <v>58</v>
      </c>
    </row>
    <row r="26">
      <c r="A26" s="1" t="s">
        <v>27</v>
      </c>
      <c r="B26" s="2">
        <f t="shared" si="1"/>
        <v>57</v>
      </c>
    </row>
    <row r="27">
      <c r="A27" s="1" t="s">
        <v>29</v>
      </c>
      <c r="B27" s="2">
        <f t="shared" si="1"/>
        <v>56</v>
      </c>
    </row>
    <row r="28">
      <c r="A28" s="1" t="s">
        <v>32</v>
      </c>
      <c r="B28" s="2">
        <f t="shared" si="1"/>
        <v>55</v>
      </c>
    </row>
    <row r="29">
      <c r="A29" s="1" t="s">
        <v>34</v>
      </c>
      <c r="B29" s="2">
        <f t="shared" si="1"/>
        <v>55</v>
      </c>
    </row>
    <row r="30">
      <c r="A30" s="1" t="s">
        <v>35</v>
      </c>
      <c r="B30" s="2">
        <f t="shared" si="1"/>
        <v>55</v>
      </c>
    </row>
    <row r="31">
      <c r="A31" s="1" t="s">
        <v>37</v>
      </c>
      <c r="B31" s="2">
        <f t="shared" si="1"/>
        <v>55</v>
      </c>
    </row>
    <row r="32">
      <c r="A32" s="1" t="s">
        <v>40</v>
      </c>
      <c r="B32" s="2">
        <f t="shared" si="1"/>
        <v>55</v>
      </c>
    </row>
    <row r="33">
      <c r="A33" s="1" t="s">
        <v>43</v>
      </c>
      <c r="B33" s="2">
        <f t="shared" si="1"/>
        <v>55</v>
      </c>
    </row>
    <row r="34">
      <c r="A34" s="1" t="s">
        <v>47</v>
      </c>
      <c r="B34" s="2">
        <f t="shared" si="1"/>
        <v>54</v>
      </c>
    </row>
    <row r="35">
      <c r="A35" s="1" t="s">
        <v>49</v>
      </c>
      <c r="B35" s="2">
        <f t="shared" si="1"/>
        <v>54</v>
      </c>
    </row>
    <row r="36">
      <c r="A36" s="1" t="s">
        <v>51</v>
      </c>
      <c r="B36" s="2">
        <f t="shared" si="1"/>
        <v>52</v>
      </c>
    </row>
    <row r="37">
      <c r="A37" s="1" t="s">
        <v>52</v>
      </c>
      <c r="B37" s="2">
        <f t="shared" si="1"/>
        <v>52</v>
      </c>
    </row>
    <row r="38">
      <c r="A38" s="1" t="s">
        <v>53</v>
      </c>
      <c r="B38" s="2">
        <f t="shared" si="1"/>
        <v>52</v>
      </c>
    </row>
    <row r="39">
      <c r="A39" s="1" t="s">
        <v>55</v>
      </c>
      <c r="B39" s="2">
        <f t="shared" si="1"/>
        <v>52</v>
      </c>
    </row>
    <row r="40">
      <c r="A40" s="1" t="s">
        <v>58</v>
      </c>
      <c r="B40" s="2">
        <f t="shared" si="1"/>
        <v>52</v>
      </c>
    </row>
    <row r="41">
      <c r="A41" s="1" t="s">
        <v>61</v>
      </c>
      <c r="B41" s="2">
        <f t="shared" si="1"/>
        <v>52</v>
      </c>
    </row>
    <row r="42">
      <c r="A42" s="1" t="s">
        <v>64</v>
      </c>
      <c r="B42" s="2">
        <f t="shared" si="1"/>
        <v>51</v>
      </c>
    </row>
    <row r="43">
      <c r="A43" s="1" t="s">
        <v>67</v>
      </c>
      <c r="B43" s="2">
        <f t="shared" si="1"/>
        <v>50</v>
      </c>
    </row>
    <row r="44">
      <c r="A44" s="1" t="s">
        <v>68</v>
      </c>
      <c r="B44" s="2">
        <f t="shared" si="1"/>
        <v>49</v>
      </c>
    </row>
    <row r="45">
      <c r="A45" s="1" t="s">
        <v>69</v>
      </c>
      <c r="B45" s="2">
        <f t="shared" si="1"/>
        <v>49</v>
      </c>
    </row>
    <row r="46">
      <c r="A46" s="1" t="s">
        <v>70</v>
      </c>
      <c r="B46" s="2">
        <f t="shared" si="1"/>
        <v>49</v>
      </c>
    </row>
    <row r="47">
      <c r="A47" s="1" t="s">
        <v>71</v>
      </c>
      <c r="B47" s="2">
        <f t="shared" si="1"/>
        <v>49</v>
      </c>
    </row>
    <row r="48">
      <c r="A48" s="1" t="s">
        <v>72</v>
      </c>
      <c r="B48" s="2">
        <f t="shared" si="1"/>
        <v>48</v>
      </c>
    </row>
    <row r="49">
      <c r="A49" s="1" t="s">
        <v>73</v>
      </c>
      <c r="B49" s="2">
        <f t="shared" si="1"/>
        <v>47</v>
      </c>
    </row>
    <row r="50">
      <c r="A50" s="1" t="s">
        <v>74</v>
      </c>
      <c r="B50" s="2">
        <f t="shared" si="1"/>
        <v>46</v>
      </c>
    </row>
    <row r="51">
      <c r="A51" s="1" t="s">
        <v>75</v>
      </c>
      <c r="B51" s="2">
        <f t="shared" si="1"/>
        <v>46</v>
      </c>
    </row>
    <row r="52">
      <c r="A52" s="1" t="s">
        <v>76</v>
      </c>
      <c r="B52" s="2">
        <f t="shared" si="1"/>
        <v>46</v>
      </c>
    </row>
    <row r="53">
      <c r="A53" s="1" t="s">
        <v>78</v>
      </c>
      <c r="B53" s="2">
        <f t="shared" si="1"/>
        <v>46</v>
      </c>
    </row>
    <row r="54">
      <c r="A54" s="1" t="s">
        <v>79</v>
      </c>
      <c r="B54" s="2">
        <f t="shared" si="1"/>
        <v>46</v>
      </c>
    </row>
    <row r="55">
      <c r="A55" s="1" t="s">
        <v>80</v>
      </c>
      <c r="B55" s="2">
        <f t="shared" si="1"/>
        <v>46</v>
      </c>
    </row>
    <row r="56">
      <c r="A56" s="1" t="s">
        <v>81</v>
      </c>
      <c r="B56" s="2">
        <f t="shared" si="1"/>
        <v>45</v>
      </c>
    </row>
    <row r="57">
      <c r="A57" s="1" t="s">
        <v>82</v>
      </c>
      <c r="B57" s="2">
        <f t="shared" si="1"/>
        <v>45</v>
      </c>
    </row>
    <row r="58">
      <c r="A58" s="1" t="s">
        <v>84</v>
      </c>
      <c r="B58" s="2">
        <f t="shared" si="1"/>
        <v>45</v>
      </c>
    </row>
    <row r="59">
      <c r="A59" s="1" t="s">
        <v>85</v>
      </c>
      <c r="B59" s="2">
        <f t="shared" si="1"/>
        <v>45</v>
      </c>
    </row>
    <row r="60">
      <c r="A60" s="1" t="s">
        <v>86</v>
      </c>
      <c r="B60" s="2">
        <f t="shared" si="1"/>
        <v>45</v>
      </c>
    </row>
    <row r="61">
      <c r="A61" s="1" t="s">
        <v>87</v>
      </c>
      <c r="B61" s="2">
        <f t="shared" si="1"/>
        <v>44</v>
      </c>
    </row>
    <row r="62">
      <c r="A62" s="1" t="s">
        <v>88</v>
      </c>
      <c r="B62" s="2">
        <f t="shared" si="1"/>
        <v>44</v>
      </c>
    </row>
    <row r="63">
      <c r="A63" s="1" t="s">
        <v>89</v>
      </c>
      <c r="B63" s="2">
        <f t="shared" si="1"/>
        <v>44</v>
      </c>
    </row>
    <row r="64">
      <c r="A64" s="1" t="s">
        <v>90</v>
      </c>
      <c r="B64" s="2">
        <f t="shared" si="1"/>
        <v>43</v>
      </c>
    </row>
    <row r="65">
      <c r="A65" s="1" t="s">
        <v>91</v>
      </c>
      <c r="B65" s="2">
        <f t="shared" si="1"/>
        <v>43</v>
      </c>
    </row>
    <row r="66">
      <c r="A66" s="1" t="s">
        <v>92</v>
      </c>
      <c r="B66" s="2">
        <f t="shared" si="1"/>
        <v>41</v>
      </c>
    </row>
    <row r="67">
      <c r="A67" s="1" t="s">
        <v>93</v>
      </c>
      <c r="B67" s="2">
        <f t="shared" si="1"/>
        <v>40</v>
      </c>
    </row>
    <row r="68">
      <c r="A68" s="1" t="s">
        <v>95</v>
      </c>
      <c r="B68" s="2">
        <f t="shared" si="1"/>
        <v>40</v>
      </c>
    </row>
    <row r="69">
      <c r="A69" s="1" t="s">
        <v>96</v>
      </c>
      <c r="B69" s="2">
        <f t="shared" si="1"/>
        <v>40</v>
      </c>
    </row>
    <row r="70">
      <c r="A70" s="1" t="s">
        <v>97</v>
      </c>
      <c r="B70" s="2">
        <f t="shared" si="1"/>
        <v>39</v>
      </c>
    </row>
    <row r="71">
      <c r="A71" s="1" t="s">
        <v>98</v>
      </c>
      <c r="B71" s="2">
        <f t="shared" si="1"/>
        <v>38</v>
      </c>
    </row>
    <row r="72">
      <c r="A72" s="1" t="s">
        <v>99</v>
      </c>
      <c r="B72" s="2">
        <f t="shared" si="1"/>
        <v>38</v>
      </c>
    </row>
    <row r="73">
      <c r="A73" s="1" t="s">
        <v>100</v>
      </c>
      <c r="B73" s="2">
        <f t="shared" si="1"/>
        <v>38</v>
      </c>
    </row>
    <row r="74">
      <c r="A74" s="1" t="s">
        <v>101</v>
      </c>
      <c r="B74" s="2">
        <f t="shared" si="1"/>
        <v>38</v>
      </c>
    </row>
    <row r="75">
      <c r="A75" s="1" t="s">
        <v>102</v>
      </c>
      <c r="B75" s="2">
        <f t="shared" si="1"/>
        <v>37</v>
      </c>
    </row>
    <row r="76">
      <c r="A76" s="1" t="s">
        <v>103</v>
      </c>
      <c r="B76" s="2">
        <f t="shared" si="1"/>
        <v>36</v>
      </c>
    </row>
    <row r="77">
      <c r="A77" s="1" t="s">
        <v>104</v>
      </c>
      <c r="B77" s="2">
        <f t="shared" si="1"/>
        <v>35</v>
      </c>
    </row>
    <row r="78">
      <c r="A78" s="1" t="s">
        <v>105</v>
      </c>
      <c r="B78" s="2">
        <f t="shared" si="1"/>
        <v>34</v>
      </c>
    </row>
    <row r="79">
      <c r="A79" s="1" t="s">
        <v>106</v>
      </c>
      <c r="B79" s="2">
        <f t="shared" si="1"/>
        <v>33</v>
      </c>
    </row>
    <row r="80">
      <c r="A80" s="1" t="s">
        <v>107</v>
      </c>
      <c r="B80" s="2">
        <f t="shared" si="1"/>
        <v>32</v>
      </c>
    </row>
    <row r="81">
      <c r="A81" s="1" t="s">
        <v>110</v>
      </c>
      <c r="B81" s="2">
        <f t="shared" si="1"/>
        <v>32</v>
      </c>
    </row>
    <row r="82">
      <c r="A82" s="1" t="s">
        <v>111</v>
      </c>
      <c r="B82" s="2">
        <f t="shared" si="1"/>
        <v>31</v>
      </c>
    </row>
    <row r="83">
      <c r="A83" s="1" t="s">
        <v>112</v>
      </c>
      <c r="B83" s="2">
        <f t="shared" si="1"/>
        <v>30</v>
      </c>
    </row>
    <row r="84">
      <c r="A84" s="1" t="s">
        <v>113</v>
      </c>
      <c r="B84" s="2">
        <f t="shared" si="1"/>
        <v>28</v>
      </c>
    </row>
    <row r="85">
      <c r="A85" s="1" t="s">
        <v>115</v>
      </c>
      <c r="B85" s="2">
        <f t="shared" si="1"/>
        <v>28</v>
      </c>
    </row>
    <row r="86">
      <c r="A86" s="1" t="s">
        <v>116</v>
      </c>
      <c r="B86" s="2">
        <f t="shared" si="1"/>
        <v>27</v>
      </c>
    </row>
    <row r="87">
      <c r="A87" s="1" t="s">
        <v>119</v>
      </c>
      <c r="B87" s="2">
        <f t="shared" si="1"/>
        <v>26</v>
      </c>
    </row>
    <row r="88">
      <c r="A88" s="1" t="s">
        <v>121</v>
      </c>
      <c r="B88" s="2">
        <f t="shared" si="1"/>
        <v>23</v>
      </c>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sheetData>
  <autoFilter ref="$A$1:$B$1000">
    <sortState ref="A1:B1000">
      <sortCondition descending="1" ref="B1:B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25"/>
  </cols>
  <sheetData>
    <row r="1"/>
    <row r="2"/>
    <row r="3"/>
    <row r="4"/>
    <row r="5"/>
    <row r="6"/>
    <row r="7"/>
    <row r="8"/>
    <row r="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5"/>
  </cols>
  <sheetData>
    <row r="1">
      <c r="A1" s="24" t="str">
        <f>#REF!</f>
        <v>#REF!</v>
      </c>
      <c r="B1" s="25" t="s">
        <v>125</v>
      </c>
    </row>
    <row r="2">
      <c r="A2" s="1" t="s">
        <v>32</v>
      </c>
      <c r="B2" s="25">
        <v>1.0</v>
      </c>
      <c r="C2" s="25" t="s">
        <v>127</v>
      </c>
    </row>
    <row r="3">
      <c r="A3" s="1" t="s">
        <v>34</v>
      </c>
      <c r="B3" s="25">
        <v>2.0</v>
      </c>
      <c r="C3" s="25" t="s">
        <v>129</v>
      </c>
    </row>
    <row r="4">
      <c r="A4" s="1" t="s">
        <v>131</v>
      </c>
      <c r="B4" s="25">
        <v>3.0</v>
      </c>
      <c r="C4" s="25" t="s">
        <v>132</v>
      </c>
    </row>
    <row r="5">
      <c r="A5" s="1" t="s">
        <v>93</v>
      </c>
      <c r="B5" s="25">
        <v>4.0</v>
      </c>
      <c r="C5" s="25" t="s">
        <v>127</v>
      </c>
    </row>
    <row r="6">
      <c r="A6" s="1" t="s">
        <v>106</v>
      </c>
      <c r="B6" s="25">
        <v>1.0</v>
      </c>
      <c r="C6" s="25" t="s">
        <v>129</v>
      </c>
    </row>
    <row r="7">
      <c r="A7" s="1" t="s">
        <v>98</v>
      </c>
      <c r="B7" s="25">
        <v>2.0</v>
      </c>
      <c r="C7" s="25" t="s">
        <v>132</v>
      </c>
    </row>
    <row r="8">
      <c r="A8" s="1" t="s">
        <v>67</v>
      </c>
      <c r="B8" s="25">
        <v>3.0</v>
      </c>
      <c r="C8" s="25" t="s">
        <v>127</v>
      </c>
    </row>
    <row r="9">
      <c r="A9" s="1" t="s">
        <v>107</v>
      </c>
      <c r="B9" s="25">
        <v>4.0</v>
      </c>
      <c r="C9" s="25" t="s">
        <v>129</v>
      </c>
    </row>
    <row r="10">
      <c r="A10" s="1" t="s">
        <v>133</v>
      </c>
      <c r="B10" s="25">
        <v>1.0</v>
      </c>
      <c r="C10" s="25" t="s">
        <v>132</v>
      </c>
    </row>
    <row r="11">
      <c r="A11" s="1" t="s">
        <v>87</v>
      </c>
      <c r="B11" s="25">
        <v>2.0</v>
      </c>
      <c r="C11" s="25" t="s">
        <v>127</v>
      </c>
    </row>
    <row r="12">
      <c r="A12" s="1" t="s">
        <v>110</v>
      </c>
      <c r="B12" s="25">
        <v>3.0</v>
      </c>
      <c r="C12" s="25" t="s">
        <v>129</v>
      </c>
    </row>
    <row r="13">
      <c r="A13" s="1" t="s">
        <v>134</v>
      </c>
      <c r="B13" s="25">
        <v>4.0</v>
      </c>
      <c r="C13" s="25" t="s">
        <v>132</v>
      </c>
    </row>
    <row r="14">
      <c r="A14" s="1" t="s">
        <v>113</v>
      </c>
      <c r="B14" s="25">
        <v>1.0</v>
      </c>
      <c r="C14" s="25" t="s">
        <v>127</v>
      </c>
    </row>
    <row r="15">
      <c r="A15" s="1" t="s">
        <v>135</v>
      </c>
      <c r="B15" s="25">
        <v>2.0</v>
      </c>
      <c r="C15" s="25" t="s">
        <v>129</v>
      </c>
    </row>
    <row r="16">
      <c r="A16" s="1" t="s">
        <v>112</v>
      </c>
      <c r="B16" s="25">
        <v>3.0</v>
      </c>
      <c r="C16" s="25" t="s">
        <v>132</v>
      </c>
    </row>
    <row r="17">
      <c r="A17" s="1" t="s">
        <v>104</v>
      </c>
      <c r="B17" s="25">
        <v>4.0</v>
      </c>
      <c r="C17" s="25" t="s">
        <v>127</v>
      </c>
    </row>
    <row r="18">
      <c r="A18" s="1" t="s">
        <v>81</v>
      </c>
      <c r="B18" s="25">
        <v>1.0</v>
      </c>
      <c r="C18" s="25" t="s">
        <v>129</v>
      </c>
    </row>
    <row r="19">
      <c r="A19" s="1" t="s">
        <v>82</v>
      </c>
      <c r="B19" s="25">
        <v>2.0</v>
      </c>
      <c r="C19" s="25" t="s">
        <v>132</v>
      </c>
    </row>
    <row r="20">
      <c r="A20" s="1" t="s">
        <v>111</v>
      </c>
      <c r="B20" s="25">
        <v>3.0</v>
      </c>
      <c r="C20" s="25" t="s">
        <v>127</v>
      </c>
    </row>
    <row r="21">
      <c r="A21" s="1" t="s">
        <v>137</v>
      </c>
      <c r="B21" s="25">
        <v>4.0</v>
      </c>
      <c r="C21" s="25" t="s">
        <v>129</v>
      </c>
    </row>
    <row r="22">
      <c r="A22" s="1" t="s">
        <v>138</v>
      </c>
      <c r="B22" s="25">
        <v>1.0</v>
      </c>
      <c r="C22" s="25" t="s">
        <v>132</v>
      </c>
    </row>
    <row r="23">
      <c r="A23" s="1" t="s">
        <v>139</v>
      </c>
      <c r="B23" s="25">
        <v>2.0</v>
      </c>
      <c r="C23" s="25" t="s">
        <v>127</v>
      </c>
    </row>
    <row r="24">
      <c r="A24" s="1" t="s">
        <v>141</v>
      </c>
      <c r="B24" s="25">
        <v>3.0</v>
      </c>
      <c r="C24" s="25" t="s">
        <v>129</v>
      </c>
    </row>
    <row r="25">
      <c r="A25" s="1" t="s">
        <v>142</v>
      </c>
      <c r="B25" s="25">
        <v>4.0</v>
      </c>
      <c r="C25" s="25" t="s">
        <v>132</v>
      </c>
    </row>
    <row r="26">
      <c r="A26" s="1" t="s">
        <v>143</v>
      </c>
      <c r="B26" s="25">
        <v>1.0</v>
      </c>
      <c r="C26" s="25" t="s">
        <v>127</v>
      </c>
    </row>
    <row r="27">
      <c r="A27" s="1" t="s">
        <v>15</v>
      </c>
      <c r="B27" s="25">
        <v>2.0</v>
      </c>
      <c r="C27" s="25" t="s">
        <v>129</v>
      </c>
    </row>
    <row r="28">
      <c r="A28" s="1" t="s">
        <v>99</v>
      </c>
      <c r="B28" s="25">
        <v>3.0</v>
      </c>
      <c r="C28" s="25" t="s">
        <v>132</v>
      </c>
    </row>
    <row r="29">
      <c r="A29" s="1" t="s">
        <v>144</v>
      </c>
      <c r="B29" s="25">
        <v>4.0</v>
      </c>
      <c r="C29" s="25" t="s">
        <v>127</v>
      </c>
    </row>
    <row r="30">
      <c r="A30" s="1" t="s">
        <v>145</v>
      </c>
      <c r="B30" s="25">
        <v>1.0</v>
      </c>
      <c r="C30" s="25" t="s">
        <v>129</v>
      </c>
    </row>
    <row r="31">
      <c r="A31" s="1" t="s">
        <v>146</v>
      </c>
      <c r="B31" s="25">
        <v>2.0</v>
      </c>
      <c r="C31" s="25" t="s">
        <v>132</v>
      </c>
    </row>
    <row r="32">
      <c r="A32" s="1" t="s">
        <v>1</v>
      </c>
      <c r="B32" s="25">
        <v>3.0</v>
      </c>
      <c r="C32" s="25" t="s">
        <v>127</v>
      </c>
    </row>
    <row r="33">
      <c r="A33" s="1" t="s">
        <v>23</v>
      </c>
      <c r="B33" s="25">
        <v>4.0</v>
      </c>
      <c r="C33" s="25" t="s">
        <v>129</v>
      </c>
    </row>
    <row r="34">
      <c r="A34" s="1" t="s">
        <v>86</v>
      </c>
      <c r="B34" s="25">
        <v>1.0</v>
      </c>
      <c r="C34" s="25" t="s">
        <v>132</v>
      </c>
    </row>
    <row r="35">
      <c r="A35" s="1" t="s">
        <v>68</v>
      </c>
      <c r="B35" s="25">
        <v>2.0</v>
      </c>
      <c r="C35" s="25" t="s">
        <v>127</v>
      </c>
    </row>
    <row r="36">
      <c r="A36" s="1" t="s">
        <v>147</v>
      </c>
      <c r="B36" s="25">
        <v>3.0</v>
      </c>
      <c r="C36" s="25" t="s">
        <v>129</v>
      </c>
    </row>
    <row r="37">
      <c r="A37" s="1" t="s">
        <v>35</v>
      </c>
      <c r="B37" s="25">
        <v>4.0</v>
      </c>
      <c r="C37" s="25" t="s">
        <v>132</v>
      </c>
    </row>
    <row r="38">
      <c r="A38" s="1" t="s">
        <v>148</v>
      </c>
      <c r="B38" s="25">
        <v>1.0</v>
      </c>
      <c r="C38" s="25" t="s">
        <v>127</v>
      </c>
    </row>
    <row r="39">
      <c r="A39" s="1" t="s">
        <v>149</v>
      </c>
      <c r="B39" s="25">
        <v>2.0</v>
      </c>
      <c r="C39" s="25" t="s">
        <v>129</v>
      </c>
    </row>
    <row r="40">
      <c r="A40" s="1" t="s">
        <v>150</v>
      </c>
      <c r="B40" s="25">
        <v>3.0</v>
      </c>
      <c r="C40" s="25" t="s">
        <v>132</v>
      </c>
    </row>
    <row r="41">
      <c r="A41" s="1" t="s">
        <v>9</v>
      </c>
      <c r="B41" s="25">
        <v>4.0</v>
      </c>
      <c r="C41" s="25" t="s">
        <v>127</v>
      </c>
    </row>
    <row r="42">
      <c r="A42" s="1" t="s">
        <v>151</v>
      </c>
      <c r="B42" s="25">
        <v>1.0</v>
      </c>
      <c r="C42" s="25" t="s">
        <v>129</v>
      </c>
    </row>
    <row r="43">
      <c r="A43" s="1" t="s">
        <v>153</v>
      </c>
      <c r="B43" s="25">
        <v>2.0</v>
      </c>
      <c r="C43" s="25" t="s">
        <v>132</v>
      </c>
    </row>
    <row r="44">
      <c r="A44" s="1" t="s">
        <v>154</v>
      </c>
      <c r="B44" s="25">
        <v>3.0</v>
      </c>
      <c r="C44" s="25" t="s">
        <v>127</v>
      </c>
    </row>
    <row r="45">
      <c r="A45" s="1" t="s">
        <v>5</v>
      </c>
      <c r="B45" s="25">
        <v>4.0</v>
      </c>
      <c r="C45" s="25" t="s">
        <v>129</v>
      </c>
    </row>
    <row r="46">
      <c r="A46" s="1" t="s">
        <v>51</v>
      </c>
      <c r="B46" s="25">
        <v>1.0</v>
      </c>
      <c r="C46" s="25" t="s">
        <v>132</v>
      </c>
    </row>
    <row r="47">
      <c r="A47" s="1" t="s">
        <v>73</v>
      </c>
      <c r="B47" s="25">
        <v>2.0</v>
      </c>
      <c r="C47" s="25" t="s">
        <v>127</v>
      </c>
    </row>
    <row r="48">
      <c r="A48" s="1" t="s">
        <v>156</v>
      </c>
      <c r="B48" s="25">
        <v>3.0</v>
      </c>
      <c r="C48" s="25" t="s">
        <v>129</v>
      </c>
    </row>
    <row r="49">
      <c r="A49" s="1" t="s">
        <v>2</v>
      </c>
      <c r="B49" s="25">
        <v>4.0</v>
      </c>
      <c r="C49" s="25" t="s">
        <v>132</v>
      </c>
    </row>
    <row r="50">
      <c r="A50" s="1" t="s">
        <v>53</v>
      </c>
      <c r="B50" s="25">
        <v>1.0</v>
      </c>
      <c r="C50" s="25" t="s">
        <v>127</v>
      </c>
    </row>
    <row r="51">
      <c r="A51" s="1" t="s">
        <v>157</v>
      </c>
      <c r="B51" s="25">
        <v>2.0</v>
      </c>
      <c r="C51" s="25" t="s">
        <v>129</v>
      </c>
    </row>
    <row r="52">
      <c r="A52" s="1" t="s">
        <v>105</v>
      </c>
      <c r="B52" s="25">
        <v>3.0</v>
      </c>
      <c r="C52" s="25" t="s">
        <v>132</v>
      </c>
    </row>
    <row r="53">
      <c r="A53" s="1" t="s">
        <v>10</v>
      </c>
      <c r="B53" s="25">
        <v>4.0</v>
      </c>
      <c r="C53" s="25" t="s">
        <v>127</v>
      </c>
    </row>
    <row r="54">
      <c r="A54" s="1" t="s">
        <v>40</v>
      </c>
      <c r="B54" s="25">
        <v>1.0</v>
      </c>
      <c r="C54" s="25" t="s">
        <v>129</v>
      </c>
    </row>
    <row r="55">
      <c r="A55" s="1" t="s">
        <v>101</v>
      </c>
      <c r="B55" s="25">
        <v>2.0</v>
      </c>
      <c r="C55" s="25" t="s">
        <v>132</v>
      </c>
    </row>
    <row r="56">
      <c r="A56" s="1" t="s">
        <v>47</v>
      </c>
      <c r="B56" s="25">
        <v>3.0</v>
      </c>
      <c r="C56" s="25" t="s">
        <v>127</v>
      </c>
    </row>
    <row r="57">
      <c r="A57" s="1" t="s">
        <v>70</v>
      </c>
      <c r="B57" s="25">
        <v>4.0</v>
      </c>
      <c r="C57" s="25" t="s">
        <v>129</v>
      </c>
    </row>
    <row r="58">
      <c r="A58" s="1" t="s">
        <v>55</v>
      </c>
      <c r="B58" s="25">
        <v>1.0</v>
      </c>
      <c r="C58" s="25" t="s">
        <v>132</v>
      </c>
    </row>
    <row r="59">
      <c r="A59" s="1" t="s">
        <v>158</v>
      </c>
      <c r="B59" s="25">
        <v>2.0</v>
      </c>
      <c r="C59" s="25" t="s">
        <v>127</v>
      </c>
    </row>
    <row r="60">
      <c r="A60" s="1" t="s">
        <v>97</v>
      </c>
      <c r="B60" s="25">
        <v>3.0</v>
      </c>
      <c r="C60" s="25" t="s">
        <v>129</v>
      </c>
    </row>
    <row r="61">
      <c r="A61" s="1" t="s">
        <v>43</v>
      </c>
      <c r="B61" s="25">
        <v>4.0</v>
      </c>
      <c r="C61" s="25" t="s">
        <v>132</v>
      </c>
    </row>
    <row r="62">
      <c r="A62" s="1" t="s">
        <v>103</v>
      </c>
      <c r="B62" s="25">
        <v>1.0</v>
      </c>
      <c r="C62" s="25" t="s">
        <v>127</v>
      </c>
    </row>
    <row r="63">
      <c r="A63" s="1" t="s">
        <v>115</v>
      </c>
      <c r="B63" s="25">
        <v>2.0</v>
      </c>
      <c r="C63" s="25" t="s">
        <v>129</v>
      </c>
    </row>
    <row r="64">
      <c r="A64" s="1" t="s">
        <v>24</v>
      </c>
      <c r="B64" s="25">
        <v>3.0</v>
      </c>
      <c r="C64" s="25" t="s">
        <v>132</v>
      </c>
    </row>
    <row r="65">
      <c r="A65" s="1" t="s">
        <v>75</v>
      </c>
      <c r="B65" s="25">
        <v>4.0</v>
      </c>
      <c r="C65" s="25" t="s">
        <v>127</v>
      </c>
    </row>
    <row r="66">
      <c r="A66" s="1" t="s">
        <v>16</v>
      </c>
      <c r="B66" s="25">
        <v>1.0</v>
      </c>
      <c r="C66" s="25" t="s">
        <v>129</v>
      </c>
    </row>
    <row r="67">
      <c r="A67" s="1" t="s">
        <v>19</v>
      </c>
      <c r="B67" s="25">
        <v>2.0</v>
      </c>
      <c r="C67" s="25" t="s">
        <v>132</v>
      </c>
    </row>
    <row r="68">
      <c r="A68" s="1" t="s">
        <v>11</v>
      </c>
      <c r="B68" s="25">
        <v>3.0</v>
      </c>
      <c r="C68" s="25" t="s">
        <v>127</v>
      </c>
    </row>
    <row r="69">
      <c r="A69" s="1" t="s">
        <v>89</v>
      </c>
      <c r="B69" s="25">
        <v>4.0</v>
      </c>
      <c r="C69" s="25" t="s">
        <v>129</v>
      </c>
    </row>
    <row r="70">
      <c r="A70" s="1" t="s">
        <v>76</v>
      </c>
      <c r="B70" s="25">
        <v>1.0</v>
      </c>
      <c r="C70" s="25" t="s">
        <v>132</v>
      </c>
    </row>
    <row r="71">
      <c r="A71" s="1" t="s">
        <v>49</v>
      </c>
      <c r="B71" s="25">
        <v>2.0</v>
      </c>
      <c r="C71" s="25" t="s">
        <v>127</v>
      </c>
    </row>
    <row r="72">
      <c r="A72" s="1" t="s">
        <v>8</v>
      </c>
      <c r="B72" s="25">
        <v>3.0</v>
      </c>
      <c r="C72" s="25" t="s">
        <v>129</v>
      </c>
    </row>
    <row r="73">
      <c r="A73" s="1" t="s">
        <v>4</v>
      </c>
      <c r="B73" s="25">
        <v>4.0</v>
      </c>
      <c r="C73" s="25" t="s">
        <v>132</v>
      </c>
    </row>
    <row r="74">
      <c r="A74" s="1" t="s">
        <v>17</v>
      </c>
      <c r="B74" s="25">
        <v>1.0</v>
      </c>
      <c r="C74" s="25" t="s">
        <v>127</v>
      </c>
    </row>
    <row r="75">
      <c r="A75" s="1" t="s">
        <v>29</v>
      </c>
      <c r="B75" s="25">
        <v>2.0</v>
      </c>
      <c r="C75" s="25" t="s">
        <v>129</v>
      </c>
    </row>
    <row r="76">
      <c r="A76" s="1" t="s">
        <v>12</v>
      </c>
      <c r="B76" s="25">
        <v>3.0</v>
      </c>
      <c r="C76" s="25" t="s">
        <v>132</v>
      </c>
    </row>
    <row r="77">
      <c r="A77" s="1" t="s">
        <v>102</v>
      </c>
      <c r="B77" s="25">
        <v>4.0</v>
      </c>
      <c r="C77" s="25" t="s">
        <v>127</v>
      </c>
    </row>
  </sheetData>
  <autoFilter ref="$A$1:$C$7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71.5"/>
  </cols>
  <sheetData>
    <row r="3">
      <c r="A3" s="25" t="s">
        <v>162</v>
      </c>
      <c r="B3" s="25" t="s">
        <v>103</v>
      </c>
      <c r="C3" s="2" t="str">
        <f t="shared" ref="C3:C18" si="1">CONCATENATE(ROW(A61),"- ",UPPER(B3))</f>
        <v>61- SOSTENIBILIDAD Y MINERÍA RESPONSABLE</v>
      </c>
    </row>
    <row r="4">
      <c r="B4" s="25" t="s">
        <v>115</v>
      </c>
      <c r="C4" s="2" t="str">
        <f t="shared" si="1"/>
        <v>62- PRIMEROS AUXILIOS EN MINERÍA</v>
      </c>
    </row>
    <row r="5">
      <c r="B5" s="25" t="s">
        <v>24</v>
      </c>
      <c r="C5" s="2" t="str">
        <f t="shared" si="1"/>
        <v>63- INDICADORES CLAVE (KPIS) PARA LA CADENA DE ABASTECIMIENTOS</v>
      </c>
    </row>
    <row r="6">
      <c r="B6" s="25" t="s">
        <v>75</v>
      </c>
      <c r="C6" s="2" t="str">
        <f t="shared" si="1"/>
        <v>64- EXPLORACIÓN MINERA Y EVALUACIÓN DE YACIMIENTOS</v>
      </c>
    </row>
    <row r="7">
      <c r="A7" s="1" t="s">
        <v>163</v>
      </c>
      <c r="B7" s="25" t="s">
        <v>16</v>
      </c>
      <c r="C7" s="2" t="str">
        <f t="shared" si="1"/>
        <v>65- REQUISITOS CLAVE DE ISO 14001 Y CÓMO APLICARLOS EN LA EMPRESA</v>
      </c>
    </row>
    <row r="8">
      <c r="B8" s="25" t="s">
        <v>19</v>
      </c>
      <c r="C8" s="2" t="str">
        <f t="shared" si="1"/>
        <v>66- SISTEMAS INTEGRADOS DE GESTIÓN HSEQ (ISO 9001, 14001, 45001)</v>
      </c>
    </row>
    <row r="9">
      <c r="B9" s="25" t="s">
        <v>11</v>
      </c>
      <c r="C9" s="2" t="str">
        <f t="shared" si="1"/>
        <v>67- GESTIÓN DE CRISIS Y MANEJO DE CONFLICTOS EN AMBIENTES INDUSTRIALES</v>
      </c>
    </row>
    <row r="10">
      <c r="A10" s="1" t="s">
        <v>166</v>
      </c>
      <c r="B10" s="1" t="s">
        <v>167</v>
      </c>
      <c r="C10" s="2" t="str">
        <f t="shared" si="1"/>
        <v>68- GESTIÓN DE LA ENERGÍA EN OPERACIONES MINERAS</v>
      </c>
    </row>
    <row r="11">
      <c r="B11" s="25" t="s">
        <v>168</v>
      </c>
      <c r="C11" s="2" t="str">
        <f t="shared" si="1"/>
        <v>69- PLANIFICACIÓN ESTRATÉGICA Y BALANCED SCORECARD</v>
      </c>
    </row>
    <row r="12">
      <c r="B12" s="1" t="s">
        <v>169</v>
      </c>
      <c r="C12" s="2" t="str">
        <f t="shared" si="1"/>
        <v>70- GESTIÓN DE LA CADENA DE SUMINISTRO EN EMPRESAS MINERAS</v>
      </c>
    </row>
    <row r="13">
      <c r="B13" s="1" t="s">
        <v>172</v>
      </c>
      <c r="C13" s="2" t="str">
        <f t="shared" si="1"/>
        <v>71- SEGURIDAD Y NORMATIVA EN EL CONTROL DE INVENTARIO Y LOGÍSTICA MINERA</v>
      </c>
    </row>
    <row r="14">
      <c r="B14" s="1" t="s">
        <v>175</v>
      </c>
      <c r="C14" s="2" t="str">
        <f t="shared" si="1"/>
        <v>72- SALUD MENTAL EN EL TRABAJO: DETECCIÓN Y PREVENCIÓN DE TRASTORNOS PSICOLÓGICOS</v>
      </c>
    </row>
    <row r="15">
      <c r="A15" s="1" t="s">
        <v>176</v>
      </c>
      <c r="B15" s="1" t="s">
        <v>177</v>
      </c>
      <c r="C15" s="2" t="str">
        <f t="shared" si="1"/>
        <v>73- IMPLEMENTACIÓN DE LEAN MANUFACTURING EN PROCESOS INDUSTRIALES</v>
      </c>
    </row>
    <row r="16">
      <c r="B16" s="1" t="s">
        <v>178</v>
      </c>
      <c r="C16" s="2" t="str">
        <f t="shared" si="1"/>
        <v>74- ERGONOMÍA Y DISEÑO DE PUESTOS DE TRABAJO EN LA INDUSTRIA</v>
      </c>
    </row>
    <row r="17">
      <c r="B17" s="1" t="s">
        <v>179</v>
      </c>
      <c r="C17" s="2" t="str">
        <f t="shared" si="1"/>
        <v>75- GESTIÓN DE SEGURIDAD DURANTE LAS PARADAS DE PLANTA Y MANTENIMIENTO</v>
      </c>
    </row>
    <row r="18">
      <c r="B18" s="1" t="s">
        <v>180</v>
      </c>
      <c r="C18" s="2" t="str">
        <f t="shared" si="1"/>
        <v>76- GESTIÓN DE RELAVES Y RESIDUOS MINEROS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7" width="28.13"/>
  </cols>
  <sheetData>
    <row r="1">
      <c r="A1" s="31"/>
      <c r="B1" s="31"/>
      <c r="C1" s="31"/>
      <c r="D1" s="31"/>
      <c r="E1" s="31"/>
      <c r="F1" s="31"/>
      <c r="G1" s="31"/>
      <c r="H1" s="31"/>
      <c r="I1" s="31"/>
      <c r="J1" s="31"/>
      <c r="K1" s="31"/>
      <c r="L1" s="31"/>
      <c r="M1" s="31"/>
      <c r="N1" s="31"/>
      <c r="O1" s="31"/>
      <c r="P1" s="31"/>
      <c r="Q1" s="31"/>
      <c r="R1" s="31"/>
      <c r="S1" s="31"/>
      <c r="T1" s="31"/>
      <c r="U1" s="31"/>
      <c r="V1" s="31"/>
    </row>
    <row r="2">
      <c r="A2" s="31"/>
      <c r="B2" s="31"/>
      <c r="C2" s="31"/>
      <c r="D2" s="31"/>
      <c r="E2" s="31"/>
      <c r="F2" s="31"/>
      <c r="G2" s="31"/>
      <c r="H2" s="31"/>
      <c r="I2" s="31"/>
      <c r="J2" s="31"/>
      <c r="K2" s="31"/>
      <c r="L2" s="31"/>
      <c r="M2" s="31"/>
      <c r="N2" s="31"/>
      <c r="O2" s="31"/>
      <c r="P2" s="31"/>
      <c r="Q2" s="31"/>
      <c r="R2" s="31"/>
      <c r="S2" s="31"/>
      <c r="T2" s="31"/>
      <c r="U2" s="31"/>
      <c r="V2" s="31"/>
    </row>
    <row r="3">
      <c r="A3" s="31"/>
      <c r="B3" s="31"/>
      <c r="C3" s="35">
        <v>5.0</v>
      </c>
      <c r="D3" s="35">
        <v>6.0</v>
      </c>
      <c r="E3" s="35">
        <v>7.0</v>
      </c>
      <c r="F3" s="35">
        <v>8.0</v>
      </c>
      <c r="G3" s="35">
        <v>9.0</v>
      </c>
      <c r="H3" s="31"/>
      <c r="I3" s="31"/>
      <c r="J3" s="31"/>
      <c r="K3" s="31"/>
      <c r="L3" s="31"/>
      <c r="M3" s="31"/>
      <c r="N3" s="31"/>
      <c r="O3" s="31"/>
      <c r="P3" s="31"/>
      <c r="Q3" s="31"/>
      <c r="R3" s="31"/>
      <c r="S3" s="31"/>
      <c r="T3" s="31"/>
      <c r="U3" s="31"/>
      <c r="V3" s="31"/>
    </row>
    <row r="4">
      <c r="A4" s="31"/>
      <c r="B4" s="31"/>
      <c r="C4" s="36" t="s">
        <v>103</v>
      </c>
      <c r="D4" s="38"/>
      <c r="E4" s="36" t="s">
        <v>103</v>
      </c>
      <c r="F4" s="38"/>
      <c r="G4" s="38"/>
      <c r="H4" s="31"/>
      <c r="I4" s="31"/>
      <c r="J4" s="31"/>
      <c r="K4" s="31"/>
      <c r="L4" s="31"/>
      <c r="M4" s="31"/>
      <c r="N4" s="31"/>
      <c r="O4" s="31"/>
      <c r="P4" s="31"/>
      <c r="Q4" s="31"/>
      <c r="R4" s="31"/>
      <c r="S4" s="31"/>
      <c r="T4" s="31"/>
      <c r="U4" s="31"/>
      <c r="V4" s="31"/>
    </row>
    <row r="5">
      <c r="A5" s="31"/>
      <c r="B5" s="31"/>
      <c r="C5" s="36" t="s">
        <v>115</v>
      </c>
      <c r="D5" s="38"/>
      <c r="E5" s="36" t="s">
        <v>115</v>
      </c>
      <c r="F5" s="38"/>
      <c r="G5" s="38"/>
      <c r="H5" s="31"/>
      <c r="I5" s="31"/>
      <c r="J5" s="31"/>
      <c r="K5" s="31"/>
      <c r="L5" s="31"/>
      <c r="M5" s="31"/>
      <c r="N5" s="31"/>
      <c r="O5" s="31"/>
      <c r="P5" s="31"/>
      <c r="Q5" s="31"/>
      <c r="R5" s="31"/>
      <c r="S5" s="31"/>
      <c r="T5" s="31"/>
      <c r="U5" s="31"/>
      <c r="V5" s="31"/>
    </row>
    <row r="6">
      <c r="A6" s="31"/>
      <c r="B6" s="31"/>
      <c r="C6" s="38"/>
      <c r="D6" s="38"/>
      <c r="E6" s="36" t="s">
        <v>24</v>
      </c>
      <c r="F6" s="38"/>
      <c r="G6" s="36" t="s">
        <v>24</v>
      </c>
      <c r="H6" s="31"/>
      <c r="I6" s="31"/>
      <c r="J6" s="31"/>
      <c r="K6" s="31"/>
      <c r="L6" s="31"/>
      <c r="M6" s="31"/>
      <c r="N6" s="31"/>
      <c r="O6" s="31"/>
      <c r="P6" s="31"/>
      <c r="Q6" s="31"/>
      <c r="R6" s="31"/>
      <c r="S6" s="31"/>
      <c r="T6" s="31"/>
      <c r="U6" s="31"/>
      <c r="V6" s="31"/>
    </row>
    <row r="7">
      <c r="A7" s="31"/>
      <c r="B7" s="31"/>
      <c r="C7" s="38"/>
      <c r="D7" s="38"/>
      <c r="E7" s="36" t="s">
        <v>75</v>
      </c>
      <c r="F7" s="38"/>
      <c r="G7" s="36" t="s">
        <v>75</v>
      </c>
      <c r="H7" s="31"/>
      <c r="I7" s="31"/>
      <c r="J7" s="31"/>
      <c r="K7" s="31"/>
      <c r="L7" s="31"/>
      <c r="M7" s="31"/>
      <c r="N7" s="31"/>
      <c r="O7" s="31"/>
      <c r="P7" s="31"/>
      <c r="Q7" s="31"/>
      <c r="R7" s="31"/>
      <c r="S7" s="31"/>
      <c r="T7" s="31"/>
      <c r="U7" s="31"/>
      <c r="V7" s="31"/>
    </row>
    <row r="8">
      <c r="A8" s="31"/>
      <c r="B8" s="31"/>
      <c r="C8" s="39"/>
      <c r="D8" s="39"/>
      <c r="E8" s="39"/>
      <c r="F8" s="39"/>
      <c r="G8" s="39"/>
      <c r="H8" s="31"/>
      <c r="I8" s="31"/>
      <c r="J8" s="31"/>
      <c r="K8" s="31"/>
      <c r="L8" s="31"/>
      <c r="M8" s="31"/>
      <c r="N8" s="31"/>
      <c r="O8" s="31"/>
      <c r="P8" s="31"/>
      <c r="Q8" s="31"/>
      <c r="R8" s="31"/>
      <c r="S8" s="31"/>
      <c r="T8" s="31"/>
      <c r="U8" s="31"/>
      <c r="V8" s="31"/>
    </row>
    <row r="9">
      <c r="A9" s="31"/>
      <c r="B9" s="31"/>
      <c r="C9" s="40">
        <f t="shared" ref="C9:G9" si="1">C3+7</f>
        <v>12</v>
      </c>
      <c r="D9" s="40">
        <f t="shared" si="1"/>
        <v>13</v>
      </c>
      <c r="E9" s="40">
        <f t="shared" si="1"/>
        <v>14</v>
      </c>
      <c r="F9" s="40">
        <f t="shared" si="1"/>
        <v>15</v>
      </c>
      <c r="G9" s="40">
        <f t="shared" si="1"/>
        <v>16</v>
      </c>
      <c r="H9" s="31"/>
      <c r="I9" s="31"/>
      <c r="J9" s="31"/>
      <c r="K9" s="31"/>
      <c r="L9" s="31"/>
      <c r="M9" s="31"/>
      <c r="N9" s="31"/>
      <c r="O9" s="31"/>
      <c r="P9" s="31"/>
      <c r="Q9" s="31"/>
      <c r="R9" s="31"/>
      <c r="S9" s="31"/>
      <c r="T9" s="31"/>
      <c r="U9" s="31"/>
      <c r="V9" s="31"/>
    </row>
    <row r="10">
      <c r="A10" s="31"/>
      <c r="B10" s="31"/>
      <c r="C10" s="36" t="s">
        <v>187</v>
      </c>
      <c r="D10" s="41"/>
      <c r="E10" s="36" t="s">
        <v>16</v>
      </c>
      <c r="F10" s="41"/>
      <c r="G10" s="38"/>
      <c r="H10" s="31"/>
      <c r="I10" s="31"/>
      <c r="J10" s="31"/>
      <c r="K10" s="31"/>
      <c r="L10" s="31"/>
      <c r="M10" s="31"/>
      <c r="N10" s="31"/>
      <c r="O10" s="31"/>
      <c r="P10" s="31"/>
      <c r="Q10" s="31"/>
      <c r="R10" s="31"/>
      <c r="S10" s="31"/>
      <c r="T10" s="31"/>
      <c r="U10" s="31"/>
      <c r="V10" s="31"/>
    </row>
    <row r="11">
      <c r="A11" s="31"/>
      <c r="B11" s="31"/>
      <c r="C11" s="36" t="s">
        <v>189</v>
      </c>
      <c r="D11" s="38"/>
      <c r="E11" s="36" t="s">
        <v>11</v>
      </c>
      <c r="F11" s="38"/>
      <c r="G11" s="38"/>
      <c r="H11" s="31"/>
      <c r="I11" s="31"/>
      <c r="J11" s="31"/>
      <c r="K11" s="31"/>
      <c r="L11" s="31"/>
      <c r="M11" s="31"/>
      <c r="N11" s="31"/>
      <c r="O11" s="31"/>
      <c r="P11" s="31"/>
      <c r="Q11" s="31"/>
      <c r="R11" s="31"/>
      <c r="S11" s="31"/>
      <c r="T11" s="31"/>
      <c r="U11" s="31"/>
      <c r="V11" s="31"/>
    </row>
    <row r="12">
      <c r="A12" s="31"/>
      <c r="B12" s="31"/>
      <c r="C12" s="42"/>
      <c r="D12" s="36" t="s">
        <v>19</v>
      </c>
      <c r="E12" s="43"/>
      <c r="F12" s="36" t="s">
        <v>19</v>
      </c>
      <c r="G12" s="43"/>
      <c r="H12" s="31"/>
      <c r="I12" s="31"/>
      <c r="J12" s="31"/>
      <c r="K12" s="31"/>
      <c r="L12" s="31"/>
      <c r="M12" s="31"/>
      <c r="N12" s="31"/>
      <c r="O12" s="31"/>
      <c r="P12" s="31"/>
      <c r="Q12" s="31"/>
      <c r="R12" s="31"/>
      <c r="S12" s="31"/>
      <c r="T12" s="31"/>
      <c r="U12" s="31"/>
      <c r="V12" s="31"/>
    </row>
    <row r="13">
      <c r="A13" s="31"/>
      <c r="B13" s="31"/>
      <c r="C13" s="42"/>
      <c r="D13" s="38"/>
      <c r="E13" s="36" t="s">
        <v>167</v>
      </c>
      <c r="F13" s="38"/>
      <c r="G13" s="43" t="s">
        <v>167</v>
      </c>
      <c r="H13" s="31"/>
      <c r="I13" s="31"/>
      <c r="J13" s="31"/>
      <c r="K13" s="31"/>
      <c r="L13" s="31"/>
      <c r="M13" s="31"/>
      <c r="N13" s="31"/>
      <c r="O13" s="31"/>
      <c r="P13" s="31"/>
      <c r="Q13" s="31"/>
      <c r="R13" s="31"/>
      <c r="S13" s="31"/>
      <c r="T13" s="31"/>
      <c r="U13" s="31"/>
      <c r="V13" s="31"/>
    </row>
    <row r="14">
      <c r="A14" s="31"/>
      <c r="B14" s="31"/>
      <c r="C14" s="42"/>
      <c r="D14" s="38"/>
      <c r="E14" s="41"/>
      <c r="F14" s="38"/>
      <c r="G14" s="41"/>
      <c r="H14" s="31"/>
      <c r="I14" s="31"/>
      <c r="J14" s="31"/>
      <c r="K14" s="31"/>
      <c r="L14" s="31"/>
      <c r="M14" s="31"/>
      <c r="N14" s="31"/>
      <c r="O14" s="31"/>
      <c r="P14" s="31"/>
      <c r="Q14" s="31"/>
      <c r="R14" s="31"/>
      <c r="S14" s="31"/>
      <c r="T14" s="31"/>
      <c r="U14" s="31"/>
      <c r="V14" s="31"/>
    </row>
    <row r="15">
      <c r="A15" s="31"/>
      <c r="B15" s="31"/>
      <c r="C15" s="44"/>
      <c r="D15" s="44"/>
      <c r="E15" s="41"/>
      <c r="F15" s="44"/>
      <c r="G15" s="41"/>
      <c r="H15" s="31"/>
      <c r="I15" s="31"/>
      <c r="J15" s="31"/>
      <c r="K15" s="31"/>
      <c r="L15" s="31"/>
      <c r="M15" s="31"/>
      <c r="N15" s="31"/>
      <c r="O15" s="31"/>
      <c r="P15" s="31"/>
      <c r="Q15" s="31"/>
      <c r="R15" s="31"/>
      <c r="S15" s="31"/>
      <c r="T15" s="31"/>
      <c r="U15" s="31"/>
      <c r="V15" s="31"/>
    </row>
    <row r="16">
      <c r="A16" s="31"/>
      <c r="B16" s="31"/>
      <c r="C16" s="44"/>
      <c r="D16" s="44"/>
      <c r="E16" s="44"/>
      <c r="F16" s="44"/>
      <c r="G16" s="44"/>
      <c r="H16" s="31"/>
      <c r="I16" s="31"/>
      <c r="J16" s="31"/>
      <c r="K16" s="31"/>
      <c r="L16" s="31"/>
      <c r="M16" s="31"/>
      <c r="N16" s="31"/>
      <c r="O16" s="31"/>
      <c r="P16" s="31"/>
      <c r="Q16" s="31"/>
      <c r="R16" s="31"/>
      <c r="S16" s="31"/>
      <c r="T16" s="31"/>
      <c r="U16" s="31"/>
      <c r="V16" s="31"/>
    </row>
    <row r="17">
      <c r="A17" s="31"/>
      <c r="B17" s="31"/>
      <c r="C17" s="40">
        <f t="shared" ref="C17:G17" si="2">C9+7</f>
        <v>19</v>
      </c>
      <c r="D17" s="40">
        <f t="shared" si="2"/>
        <v>20</v>
      </c>
      <c r="E17" s="40">
        <f t="shared" si="2"/>
        <v>21</v>
      </c>
      <c r="F17" s="40">
        <f t="shared" si="2"/>
        <v>22</v>
      </c>
      <c r="G17" s="40">
        <f t="shared" si="2"/>
        <v>23</v>
      </c>
      <c r="H17" s="31"/>
      <c r="I17" s="31"/>
      <c r="J17" s="31"/>
      <c r="K17" s="31"/>
      <c r="L17" s="31"/>
      <c r="M17" s="31"/>
      <c r="N17" s="31"/>
      <c r="O17" s="31"/>
      <c r="P17" s="31"/>
      <c r="Q17" s="31"/>
      <c r="R17" s="31"/>
      <c r="S17" s="31"/>
      <c r="T17" s="31"/>
      <c r="U17" s="31"/>
      <c r="V17" s="31"/>
    </row>
    <row r="18">
      <c r="A18" s="31"/>
      <c r="B18" s="31"/>
      <c r="C18" s="36" t="s">
        <v>168</v>
      </c>
      <c r="D18" s="41"/>
      <c r="E18" s="36" t="s">
        <v>168</v>
      </c>
      <c r="F18" s="41"/>
      <c r="G18" s="38"/>
      <c r="H18" s="31"/>
      <c r="I18" s="31"/>
      <c r="J18" s="31"/>
      <c r="K18" s="31"/>
      <c r="L18" s="31"/>
      <c r="M18" s="31"/>
      <c r="N18" s="31"/>
      <c r="O18" s="31"/>
      <c r="P18" s="31"/>
      <c r="Q18" s="31"/>
      <c r="R18" s="31"/>
      <c r="S18" s="31"/>
      <c r="T18" s="31"/>
      <c r="U18" s="31"/>
      <c r="V18" s="31"/>
    </row>
    <row r="19">
      <c r="A19" s="31"/>
      <c r="B19" s="31"/>
      <c r="C19" s="43" t="s">
        <v>169</v>
      </c>
      <c r="D19" s="38"/>
      <c r="E19" s="43" t="s">
        <v>169</v>
      </c>
      <c r="F19" s="38"/>
      <c r="G19" s="38"/>
      <c r="H19" s="31"/>
      <c r="I19" s="31"/>
      <c r="J19" s="31"/>
      <c r="K19" s="31"/>
      <c r="L19" s="31"/>
      <c r="M19" s="31"/>
      <c r="N19" s="31"/>
      <c r="O19" s="31"/>
      <c r="P19" s="31"/>
      <c r="Q19" s="31"/>
      <c r="R19" s="31"/>
      <c r="S19" s="31"/>
      <c r="T19" s="31"/>
      <c r="U19" s="31"/>
      <c r="V19" s="31"/>
    </row>
    <row r="20">
      <c r="A20" s="31"/>
      <c r="B20" s="31"/>
      <c r="C20" s="38"/>
      <c r="D20" s="43" t="s">
        <v>172</v>
      </c>
      <c r="E20" s="43"/>
      <c r="F20" s="43" t="s">
        <v>172</v>
      </c>
      <c r="G20" s="43"/>
      <c r="H20" s="31"/>
      <c r="I20" s="31"/>
      <c r="J20" s="31"/>
      <c r="K20" s="31"/>
      <c r="L20" s="31"/>
      <c r="M20" s="31"/>
      <c r="N20" s="31"/>
      <c r="O20" s="31"/>
      <c r="P20" s="31"/>
      <c r="Q20" s="31"/>
      <c r="R20" s="31"/>
      <c r="S20" s="31"/>
      <c r="T20" s="31"/>
      <c r="U20" s="31"/>
      <c r="V20" s="31"/>
    </row>
    <row r="21">
      <c r="A21" s="31"/>
      <c r="B21" s="31"/>
      <c r="C21" s="38"/>
      <c r="D21" s="38"/>
      <c r="E21" s="43" t="s">
        <v>175</v>
      </c>
      <c r="F21" s="38"/>
      <c r="G21" s="43" t="s">
        <v>175</v>
      </c>
      <c r="H21" s="31"/>
      <c r="I21" s="31"/>
      <c r="J21" s="31"/>
      <c r="K21" s="31"/>
      <c r="L21" s="31"/>
      <c r="M21" s="31"/>
      <c r="N21" s="31"/>
      <c r="O21" s="31"/>
      <c r="P21" s="31"/>
      <c r="Q21" s="31"/>
      <c r="R21" s="31"/>
      <c r="S21" s="31"/>
      <c r="T21" s="31"/>
      <c r="U21" s="31"/>
      <c r="V21" s="31"/>
    </row>
    <row r="22">
      <c r="A22" s="31"/>
      <c r="B22" s="31"/>
      <c r="C22" s="39"/>
      <c r="D22" s="39"/>
      <c r="E22" s="39"/>
      <c r="F22" s="39"/>
      <c r="G22" s="39"/>
      <c r="H22" s="31"/>
      <c r="I22" s="31"/>
      <c r="J22" s="31"/>
      <c r="K22" s="31"/>
      <c r="L22" s="31"/>
      <c r="M22" s="31"/>
      <c r="N22" s="31"/>
      <c r="O22" s="31"/>
      <c r="P22" s="31"/>
      <c r="Q22" s="31"/>
      <c r="R22" s="31"/>
      <c r="S22" s="31"/>
      <c r="T22" s="31"/>
      <c r="U22" s="31"/>
      <c r="V22" s="31"/>
    </row>
    <row r="23">
      <c r="A23" s="31"/>
      <c r="B23" s="31"/>
      <c r="C23" s="39"/>
      <c r="D23" s="39"/>
      <c r="E23" s="39"/>
      <c r="F23" s="39"/>
      <c r="G23" s="39"/>
      <c r="H23" s="31"/>
      <c r="I23" s="31"/>
      <c r="J23" s="31"/>
      <c r="K23" s="31"/>
      <c r="L23" s="31"/>
      <c r="M23" s="31"/>
      <c r="N23" s="31"/>
      <c r="O23" s="31"/>
      <c r="P23" s="31"/>
      <c r="Q23" s="31"/>
      <c r="R23" s="31"/>
      <c r="S23" s="31"/>
      <c r="T23" s="31"/>
      <c r="U23" s="31"/>
      <c r="V23" s="31"/>
    </row>
    <row r="24">
      <c r="A24" s="31"/>
      <c r="B24" s="31"/>
      <c r="C24" s="40">
        <f t="shared" ref="C24:G24" si="3">C17+7</f>
        <v>26</v>
      </c>
      <c r="D24" s="40">
        <f t="shared" si="3"/>
        <v>27</v>
      </c>
      <c r="E24" s="40">
        <f t="shared" si="3"/>
        <v>28</v>
      </c>
      <c r="F24" s="40">
        <f t="shared" si="3"/>
        <v>29</v>
      </c>
      <c r="G24" s="40">
        <f t="shared" si="3"/>
        <v>30</v>
      </c>
      <c r="H24" s="31"/>
      <c r="I24" s="31"/>
      <c r="J24" s="31"/>
      <c r="K24" s="31"/>
      <c r="L24" s="31"/>
      <c r="M24" s="31"/>
      <c r="N24" s="31"/>
      <c r="O24" s="31"/>
      <c r="P24" s="31"/>
      <c r="Q24" s="31"/>
      <c r="R24" s="31"/>
      <c r="S24" s="31"/>
      <c r="T24" s="31"/>
      <c r="U24" s="31"/>
      <c r="V24" s="31"/>
    </row>
    <row r="25">
      <c r="A25" s="31"/>
      <c r="B25" s="31"/>
      <c r="C25" s="43" t="s">
        <v>177</v>
      </c>
      <c r="D25" s="41"/>
      <c r="E25" s="43" t="s">
        <v>177</v>
      </c>
      <c r="F25" s="42"/>
      <c r="G25" s="42"/>
      <c r="H25" s="31"/>
      <c r="I25" s="31"/>
      <c r="J25" s="31"/>
      <c r="K25" s="31"/>
      <c r="L25" s="31"/>
      <c r="M25" s="31"/>
      <c r="N25" s="31"/>
      <c r="O25" s="31"/>
      <c r="P25" s="31"/>
      <c r="Q25" s="31"/>
      <c r="R25" s="31"/>
      <c r="S25" s="31"/>
      <c r="T25" s="31"/>
      <c r="U25" s="31"/>
      <c r="V25" s="31"/>
    </row>
    <row r="26">
      <c r="A26" s="31"/>
      <c r="B26" s="31"/>
      <c r="C26" s="43" t="s">
        <v>178</v>
      </c>
      <c r="D26" s="38"/>
      <c r="E26" s="43" t="s">
        <v>178</v>
      </c>
      <c r="F26" s="38"/>
      <c r="G26" s="38"/>
      <c r="H26" s="31"/>
      <c r="I26" s="31"/>
      <c r="J26" s="31"/>
      <c r="K26" s="31"/>
      <c r="L26" s="31"/>
      <c r="M26" s="31"/>
      <c r="N26" s="31"/>
      <c r="O26" s="31"/>
      <c r="P26" s="31"/>
      <c r="Q26" s="31"/>
      <c r="R26" s="31"/>
      <c r="S26" s="31"/>
      <c r="T26" s="31"/>
      <c r="U26" s="31"/>
      <c r="V26" s="31"/>
    </row>
    <row r="27">
      <c r="A27" s="31"/>
      <c r="B27" s="31"/>
      <c r="C27" s="38"/>
      <c r="D27" s="43" t="s">
        <v>179</v>
      </c>
      <c r="E27" s="43"/>
      <c r="F27" s="43" t="s">
        <v>179</v>
      </c>
      <c r="G27" s="43"/>
      <c r="H27" s="31"/>
      <c r="I27" s="31"/>
      <c r="J27" s="31"/>
      <c r="K27" s="31"/>
      <c r="L27" s="31"/>
      <c r="M27" s="31"/>
      <c r="N27" s="31"/>
      <c r="O27" s="31"/>
      <c r="P27" s="31"/>
      <c r="Q27" s="31"/>
      <c r="R27" s="31"/>
      <c r="S27" s="31"/>
      <c r="T27" s="31"/>
      <c r="U27" s="31"/>
      <c r="V27" s="31"/>
    </row>
    <row r="28">
      <c r="A28" s="31"/>
      <c r="B28" s="31"/>
      <c r="C28" s="38"/>
      <c r="D28" s="42"/>
      <c r="E28" s="36" t="s">
        <v>180</v>
      </c>
      <c r="F28" s="42"/>
      <c r="G28" s="43" t="s">
        <v>180</v>
      </c>
      <c r="H28" s="31"/>
      <c r="I28" s="31"/>
      <c r="J28" s="31"/>
      <c r="K28" s="31"/>
      <c r="L28" s="31"/>
      <c r="M28" s="31"/>
      <c r="N28" s="31"/>
      <c r="O28" s="31"/>
      <c r="P28" s="31"/>
      <c r="Q28" s="31"/>
      <c r="R28" s="31"/>
      <c r="S28" s="31"/>
      <c r="T28" s="31"/>
      <c r="U28" s="31"/>
      <c r="V28" s="31"/>
    </row>
    <row r="29">
      <c r="A29" s="31"/>
      <c r="B29" s="31"/>
      <c r="C29" s="38"/>
      <c r="D29" s="41"/>
      <c r="E29" s="43"/>
      <c r="F29" s="41"/>
      <c r="G29" s="42"/>
      <c r="H29" s="31"/>
      <c r="I29" s="31"/>
      <c r="J29" s="31"/>
      <c r="K29" s="31"/>
      <c r="L29" s="31"/>
      <c r="M29" s="31"/>
      <c r="N29" s="31"/>
      <c r="O29" s="31"/>
      <c r="P29" s="31"/>
      <c r="Q29" s="31"/>
      <c r="R29" s="31"/>
      <c r="S29" s="31"/>
      <c r="T29" s="31"/>
      <c r="U29" s="31"/>
      <c r="V29" s="31"/>
    </row>
    <row r="30">
      <c r="A30" s="31"/>
      <c r="B30" s="31"/>
      <c r="C30" s="31"/>
      <c r="D30" s="31"/>
      <c r="E30" s="31"/>
      <c r="F30" s="31"/>
      <c r="G30" s="31"/>
      <c r="H30" s="31"/>
      <c r="I30" s="31"/>
      <c r="J30" s="31"/>
      <c r="K30" s="31"/>
      <c r="L30" s="31"/>
      <c r="M30" s="31"/>
      <c r="N30" s="31"/>
      <c r="O30" s="31"/>
      <c r="P30" s="31"/>
      <c r="Q30" s="31"/>
      <c r="R30" s="31"/>
      <c r="S30" s="31"/>
      <c r="T30" s="31"/>
      <c r="U30" s="31"/>
      <c r="V30" s="31"/>
    </row>
    <row r="31">
      <c r="A31" s="31"/>
      <c r="B31" s="31"/>
      <c r="C31" s="31"/>
      <c r="D31" s="31"/>
      <c r="E31" s="31"/>
      <c r="F31" s="31"/>
      <c r="G31" s="31"/>
      <c r="H31" s="31"/>
      <c r="I31" s="31"/>
      <c r="J31" s="31"/>
      <c r="K31" s="31"/>
      <c r="L31" s="31"/>
      <c r="M31" s="31"/>
      <c r="N31" s="31"/>
      <c r="O31" s="31"/>
      <c r="P31" s="31"/>
      <c r="Q31" s="31"/>
      <c r="R31" s="31"/>
      <c r="S31" s="31"/>
      <c r="T31" s="31"/>
      <c r="U31" s="31"/>
      <c r="V31" s="31"/>
    </row>
    <row r="32">
      <c r="A32" s="31"/>
      <c r="B32" s="31"/>
      <c r="C32" s="31"/>
      <c r="D32" s="31"/>
      <c r="E32" s="31"/>
      <c r="F32" s="31"/>
      <c r="G32" s="31"/>
      <c r="H32" s="31"/>
      <c r="I32" s="31"/>
      <c r="J32" s="31"/>
      <c r="K32" s="31"/>
      <c r="L32" s="31"/>
      <c r="M32" s="31"/>
      <c r="N32" s="31"/>
      <c r="O32" s="31"/>
      <c r="P32" s="31"/>
      <c r="Q32" s="31"/>
      <c r="R32" s="31"/>
      <c r="S32" s="31"/>
      <c r="T32" s="31"/>
      <c r="U32" s="31"/>
      <c r="V32" s="31"/>
    </row>
    <row r="33">
      <c r="A33" s="31"/>
      <c r="B33" s="31"/>
      <c r="C33" s="31"/>
      <c r="D33" s="31"/>
      <c r="E33" s="31"/>
      <c r="F33" s="31"/>
      <c r="G33" s="31"/>
      <c r="H33" s="31"/>
      <c r="I33" s="31"/>
      <c r="J33" s="31"/>
      <c r="K33" s="31"/>
      <c r="L33" s="31"/>
      <c r="M33" s="31"/>
      <c r="N33" s="31"/>
      <c r="O33" s="31"/>
      <c r="P33" s="31"/>
      <c r="Q33" s="31"/>
      <c r="R33" s="31"/>
      <c r="S33" s="31"/>
      <c r="T33" s="31"/>
      <c r="U33" s="31"/>
      <c r="V33" s="31"/>
    </row>
    <row r="34">
      <c r="A34" s="31"/>
      <c r="B34" s="31"/>
      <c r="C34" s="31"/>
      <c r="D34" s="31"/>
      <c r="E34" s="31"/>
      <c r="F34" s="31"/>
      <c r="G34" s="31"/>
      <c r="H34" s="31"/>
      <c r="I34" s="31"/>
      <c r="J34" s="31"/>
      <c r="K34" s="31"/>
      <c r="L34" s="31"/>
      <c r="M34" s="31"/>
      <c r="N34" s="31"/>
      <c r="O34" s="31"/>
      <c r="P34" s="31"/>
      <c r="Q34" s="31"/>
      <c r="R34" s="31"/>
      <c r="S34" s="31"/>
      <c r="T34" s="31"/>
      <c r="U34" s="31"/>
      <c r="V34" s="31"/>
    </row>
    <row r="35">
      <c r="A35" s="31"/>
      <c r="B35" s="31"/>
      <c r="C35" s="31"/>
      <c r="D35" s="31"/>
      <c r="E35" s="31"/>
      <c r="F35" s="31"/>
      <c r="G35" s="31"/>
      <c r="H35" s="31"/>
      <c r="I35" s="31"/>
      <c r="J35" s="31"/>
      <c r="K35" s="31"/>
      <c r="L35" s="31"/>
      <c r="M35" s="31"/>
      <c r="N35" s="31"/>
      <c r="O35" s="31"/>
      <c r="P35" s="31"/>
      <c r="Q35" s="31"/>
      <c r="R35" s="31"/>
      <c r="S35" s="31"/>
      <c r="T35" s="31"/>
      <c r="U35" s="31"/>
      <c r="V35" s="31"/>
    </row>
    <row r="36">
      <c r="A36" s="31"/>
      <c r="B36" s="31"/>
      <c r="C36" s="31"/>
      <c r="D36" s="31"/>
      <c r="E36" s="31"/>
      <c r="F36" s="31"/>
      <c r="G36" s="31"/>
      <c r="H36" s="31"/>
      <c r="I36" s="31"/>
      <c r="J36" s="31"/>
      <c r="K36" s="31"/>
      <c r="L36" s="31"/>
      <c r="M36" s="31"/>
      <c r="N36" s="31"/>
      <c r="O36" s="31"/>
      <c r="P36" s="31"/>
      <c r="Q36" s="31"/>
      <c r="R36" s="31"/>
      <c r="S36" s="31"/>
      <c r="T36" s="31"/>
      <c r="U36" s="31"/>
      <c r="V36" s="31"/>
    </row>
    <row r="37">
      <c r="A37" s="31"/>
      <c r="B37" s="31"/>
      <c r="C37" s="31"/>
      <c r="D37" s="31"/>
      <c r="E37" s="31"/>
      <c r="F37" s="31"/>
      <c r="G37" s="31"/>
      <c r="H37" s="31"/>
      <c r="I37" s="31"/>
      <c r="J37" s="31"/>
      <c r="K37" s="31"/>
      <c r="L37" s="31"/>
      <c r="M37" s="31"/>
      <c r="N37" s="31"/>
      <c r="O37" s="31"/>
      <c r="P37" s="31"/>
      <c r="Q37" s="31"/>
      <c r="R37" s="31"/>
      <c r="S37" s="31"/>
      <c r="T37" s="31"/>
      <c r="U37" s="31"/>
      <c r="V37" s="31"/>
    </row>
    <row r="38">
      <c r="A38" s="31"/>
      <c r="B38" s="31"/>
      <c r="C38" s="31"/>
      <c r="D38" s="31"/>
      <c r="E38" s="31"/>
      <c r="F38" s="31"/>
      <c r="G38" s="31"/>
      <c r="H38" s="31"/>
      <c r="I38" s="31"/>
      <c r="J38" s="31"/>
      <c r="K38" s="31"/>
      <c r="L38" s="31"/>
      <c r="M38" s="31"/>
      <c r="N38" s="31"/>
      <c r="O38" s="31"/>
      <c r="P38" s="31"/>
      <c r="Q38" s="31"/>
      <c r="R38" s="31"/>
      <c r="S38" s="31"/>
      <c r="T38" s="31"/>
      <c r="U38" s="31"/>
      <c r="V38" s="31"/>
    </row>
    <row r="39">
      <c r="A39" s="31"/>
      <c r="B39" s="31"/>
      <c r="C39" s="31"/>
      <c r="D39" s="31"/>
      <c r="E39" s="31"/>
      <c r="F39" s="31"/>
      <c r="G39" s="31"/>
      <c r="H39" s="31"/>
      <c r="I39" s="31"/>
      <c r="J39" s="31"/>
      <c r="K39" s="31"/>
      <c r="L39" s="31"/>
      <c r="M39" s="31"/>
      <c r="N39" s="31"/>
      <c r="O39" s="31"/>
      <c r="P39" s="31"/>
      <c r="Q39" s="31"/>
      <c r="R39" s="31"/>
      <c r="S39" s="31"/>
      <c r="T39" s="31"/>
      <c r="U39" s="31"/>
      <c r="V39" s="31"/>
    </row>
    <row r="40">
      <c r="A40" s="31"/>
      <c r="B40" s="31"/>
      <c r="C40" s="31"/>
      <c r="D40" s="31"/>
      <c r="E40" s="31"/>
      <c r="F40" s="31"/>
      <c r="G40" s="31"/>
      <c r="H40" s="31"/>
      <c r="I40" s="31"/>
      <c r="J40" s="31"/>
      <c r="K40" s="31"/>
      <c r="L40" s="31"/>
      <c r="M40" s="31"/>
      <c r="N40" s="31"/>
      <c r="O40" s="31"/>
      <c r="P40" s="31"/>
      <c r="Q40" s="31"/>
      <c r="R40" s="31"/>
      <c r="S40" s="31"/>
      <c r="T40" s="31"/>
      <c r="U40" s="31"/>
      <c r="V40" s="31"/>
    </row>
    <row r="41">
      <c r="A41" s="31"/>
      <c r="B41" s="31"/>
      <c r="C41" s="31"/>
      <c r="D41" s="31"/>
      <c r="E41" s="31"/>
      <c r="F41" s="31"/>
      <c r="G41" s="31"/>
      <c r="H41" s="31"/>
      <c r="I41" s="31"/>
      <c r="J41" s="31"/>
      <c r="K41" s="31"/>
      <c r="L41" s="31"/>
      <c r="M41" s="31"/>
      <c r="N41" s="31"/>
      <c r="O41" s="31"/>
      <c r="P41" s="31"/>
      <c r="Q41" s="31"/>
      <c r="R41" s="31"/>
      <c r="S41" s="31"/>
      <c r="T41" s="31"/>
      <c r="U41" s="31"/>
      <c r="V41" s="31"/>
    </row>
    <row r="42">
      <c r="A42" s="31"/>
      <c r="B42" s="31"/>
      <c r="C42" s="31"/>
      <c r="D42" s="31"/>
      <c r="E42" s="31"/>
      <c r="F42" s="31"/>
      <c r="G42" s="31"/>
      <c r="H42" s="31"/>
      <c r="I42" s="31"/>
      <c r="J42" s="31"/>
      <c r="K42" s="31"/>
      <c r="L42" s="31"/>
      <c r="M42" s="31"/>
      <c r="N42" s="31"/>
      <c r="O42" s="31"/>
      <c r="P42" s="31"/>
      <c r="Q42" s="31"/>
      <c r="R42" s="31"/>
      <c r="S42" s="31"/>
      <c r="T42" s="31"/>
      <c r="U42" s="31"/>
      <c r="V42" s="31"/>
    </row>
    <row r="43">
      <c r="A43" s="31"/>
      <c r="B43" s="31"/>
      <c r="C43" s="31"/>
      <c r="D43" s="31"/>
      <c r="E43" s="31"/>
      <c r="F43" s="31"/>
      <c r="G43" s="31"/>
      <c r="H43" s="31"/>
      <c r="I43" s="31"/>
      <c r="J43" s="31"/>
      <c r="K43" s="31"/>
      <c r="L43" s="31"/>
      <c r="M43" s="31"/>
      <c r="N43" s="31"/>
      <c r="O43" s="31"/>
      <c r="P43" s="31"/>
      <c r="Q43" s="31"/>
      <c r="R43" s="31"/>
      <c r="S43" s="31"/>
      <c r="T43" s="31"/>
      <c r="U43" s="31"/>
      <c r="V43" s="31"/>
    </row>
    <row r="44">
      <c r="A44" s="31"/>
      <c r="B44" s="31"/>
      <c r="C44" s="31"/>
      <c r="D44" s="31"/>
      <c r="E44" s="31"/>
      <c r="F44" s="31"/>
      <c r="G44" s="31"/>
      <c r="H44" s="31"/>
      <c r="I44" s="31"/>
      <c r="J44" s="31"/>
      <c r="K44" s="31"/>
      <c r="L44" s="31"/>
      <c r="M44" s="31"/>
      <c r="N44" s="31"/>
      <c r="O44" s="31"/>
      <c r="P44" s="31"/>
      <c r="Q44" s="31"/>
      <c r="R44" s="31"/>
      <c r="S44" s="31"/>
      <c r="T44" s="31"/>
      <c r="U44" s="31"/>
      <c r="V44" s="31"/>
    </row>
    <row r="45">
      <c r="A45" s="31"/>
      <c r="B45" s="31"/>
      <c r="C45" s="31"/>
      <c r="D45" s="31"/>
      <c r="E45" s="31"/>
      <c r="F45" s="31"/>
      <c r="G45" s="31"/>
      <c r="H45" s="31"/>
      <c r="I45" s="31"/>
      <c r="J45" s="31"/>
      <c r="K45" s="31"/>
      <c r="L45" s="31"/>
      <c r="M45" s="31"/>
      <c r="N45" s="31"/>
      <c r="O45" s="31"/>
      <c r="P45" s="31"/>
      <c r="Q45" s="31"/>
      <c r="R45" s="31"/>
      <c r="S45" s="31"/>
      <c r="T45" s="31"/>
      <c r="U45" s="31"/>
      <c r="V45" s="31"/>
    </row>
    <row r="46">
      <c r="A46" s="31"/>
      <c r="B46" s="31"/>
      <c r="C46" s="31"/>
      <c r="D46" s="31"/>
      <c r="E46" s="31"/>
      <c r="F46" s="31"/>
      <c r="G46" s="31"/>
      <c r="H46" s="31"/>
      <c r="I46" s="31"/>
      <c r="J46" s="31"/>
      <c r="K46" s="31"/>
      <c r="L46" s="31"/>
      <c r="M46" s="31"/>
      <c r="N46" s="31"/>
      <c r="O46" s="31"/>
      <c r="P46" s="31"/>
      <c r="Q46" s="31"/>
      <c r="R46" s="31"/>
      <c r="S46" s="31"/>
      <c r="T46" s="31"/>
      <c r="U46" s="31"/>
      <c r="V46" s="31"/>
    </row>
    <row r="47">
      <c r="A47" s="31"/>
      <c r="B47" s="31"/>
      <c r="C47" s="31"/>
      <c r="D47" s="31"/>
      <c r="E47" s="31"/>
      <c r="F47" s="31"/>
      <c r="G47" s="31"/>
      <c r="H47" s="31"/>
      <c r="I47" s="31"/>
      <c r="J47" s="31"/>
      <c r="K47" s="31"/>
      <c r="L47" s="31"/>
      <c r="M47" s="31"/>
      <c r="N47" s="31"/>
      <c r="O47" s="31"/>
      <c r="P47" s="31"/>
      <c r="Q47" s="31"/>
      <c r="R47" s="31"/>
      <c r="S47" s="31"/>
      <c r="T47" s="31"/>
      <c r="U47" s="31"/>
      <c r="V47" s="31"/>
    </row>
    <row r="48">
      <c r="A48" s="31"/>
      <c r="B48" s="31"/>
      <c r="C48" s="31"/>
      <c r="D48" s="31"/>
      <c r="E48" s="31"/>
      <c r="F48" s="31"/>
      <c r="G48" s="31"/>
      <c r="H48" s="31"/>
      <c r="I48" s="31"/>
      <c r="J48" s="31"/>
      <c r="K48" s="31"/>
      <c r="L48" s="31"/>
      <c r="M48" s="31"/>
      <c r="N48" s="31"/>
      <c r="O48" s="31"/>
      <c r="P48" s="31"/>
      <c r="Q48" s="31"/>
      <c r="R48" s="31"/>
      <c r="S48" s="31"/>
      <c r="T48" s="31"/>
      <c r="U48" s="31"/>
      <c r="V48" s="31"/>
    </row>
    <row r="49">
      <c r="A49" s="31"/>
      <c r="B49" s="31"/>
      <c r="C49" s="31"/>
      <c r="D49" s="31"/>
      <c r="E49" s="31"/>
      <c r="F49" s="31"/>
      <c r="G49" s="31"/>
      <c r="H49" s="31"/>
      <c r="I49" s="31"/>
      <c r="J49" s="31"/>
      <c r="K49" s="31"/>
      <c r="L49" s="31"/>
      <c r="M49" s="31"/>
      <c r="N49" s="31"/>
      <c r="O49" s="31"/>
      <c r="P49" s="31"/>
      <c r="Q49" s="31"/>
      <c r="R49" s="31"/>
      <c r="S49" s="31"/>
      <c r="T49" s="31"/>
      <c r="U49" s="31"/>
      <c r="V49" s="31"/>
    </row>
    <row r="50">
      <c r="A50" s="31"/>
      <c r="B50" s="31"/>
      <c r="C50" s="31"/>
      <c r="D50" s="31"/>
      <c r="E50" s="31"/>
      <c r="F50" s="31"/>
      <c r="G50" s="31"/>
      <c r="H50" s="31"/>
      <c r="I50" s="31"/>
      <c r="J50" s="31"/>
      <c r="K50" s="31"/>
      <c r="L50" s="31"/>
      <c r="M50" s="31"/>
      <c r="N50" s="31"/>
      <c r="O50" s="31"/>
      <c r="P50" s="31"/>
      <c r="Q50" s="31"/>
      <c r="R50" s="31"/>
      <c r="S50" s="31"/>
      <c r="T50" s="31"/>
      <c r="U50" s="31"/>
      <c r="V50" s="31"/>
    </row>
    <row r="51">
      <c r="A51" s="31"/>
      <c r="B51" s="31"/>
      <c r="C51" s="31"/>
      <c r="D51" s="31"/>
      <c r="E51" s="31"/>
      <c r="F51" s="31"/>
      <c r="G51" s="31"/>
      <c r="H51" s="31"/>
      <c r="I51" s="31"/>
      <c r="J51" s="31"/>
      <c r="K51" s="31"/>
      <c r="L51" s="31"/>
      <c r="M51" s="31"/>
      <c r="N51" s="31"/>
      <c r="O51" s="31"/>
      <c r="P51" s="31"/>
      <c r="Q51" s="31"/>
      <c r="R51" s="31"/>
      <c r="S51" s="31"/>
      <c r="T51" s="31"/>
      <c r="U51" s="31"/>
      <c r="V51" s="31"/>
    </row>
    <row r="52">
      <c r="A52" s="31"/>
      <c r="B52" s="31"/>
      <c r="C52" s="31"/>
      <c r="D52" s="31"/>
      <c r="E52" s="31"/>
      <c r="F52" s="31"/>
      <c r="G52" s="31"/>
      <c r="H52" s="31"/>
      <c r="I52" s="31"/>
      <c r="J52" s="31"/>
      <c r="K52" s="31"/>
      <c r="L52" s="31"/>
      <c r="M52" s="31"/>
      <c r="N52" s="31"/>
      <c r="O52" s="31"/>
      <c r="P52" s="31"/>
      <c r="Q52" s="31"/>
      <c r="R52" s="31"/>
      <c r="S52" s="31"/>
      <c r="T52" s="31"/>
      <c r="U52" s="31"/>
      <c r="V52" s="31"/>
    </row>
    <row r="53">
      <c r="A53" s="31"/>
      <c r="B53" s="31"/>
      <c r="C53" s="31"/>
      <c r="D53" s="31"/>
      <c r="E53" s="31"/>
      <c r="F53" s="31"/>
      <c r="G53" s="31"/>
      <c r="H53" s="31"/>
      <c r="I53" s="31"/>
      <c r="J53" s="31"/>
      <c r="K53" s="31"/>
      <c r="L53" s="31"/>
      <c r="M53" s="31"/>
      <c r="N53" s="31"/>
      <c r="O53" s="31"/>
      <c r="P53" s="31"/>
      <c r="Q53" s="31"/>
      <c r="R53" s="31"/>
      <c r="S53" s="31"/>
      <c r="T53" s="31"/>
      <c r="U53" s="31"/>
      <c r="V53" s="31"/>
    </row>
    <row r="54">
      <c r="A54" s="31"/>
      <c r="B54" s="31"/>
      <c r="C54" s="31"/>
      <c r="D54" s="31"/>
      <c r="E54" s="31"/>
      <c r="F54" s="31"/>
      <c r="G54" s="31"/>
      <c r="H54" s="31"/>
      <c r="I54" s="31"/>
      <c r="J54" s="31"/>
      <c r="K54" s="31"/>
      <c r="L54" s="31"/>
      <c r="M54" s="31"/>
      <c r="N54" s="31"/>
      <c r="O54" s="31"/>
      <c r="P54" s="31"/>
      <c r="Q54" s="31"/>
      <c r="R54" s="31"/>
      <c r="S54" s="31"/>
      <c r="T54" s="31"/>
      <c r="U54" s="31"/>
      <c r="V54" s="31"/>
    </row>
    <row r="55">
      <c r="A55" s="31"/>
      <c r="B55" s="31"/>
      <c r="C55" s="31"/>
      <c r="D55" s="31"/>
      <c r="E55" s="31"/>
      <c r="F55" s="31"/>
      <c r="G55" s="31"/>
      <c r="H55" s="31"/>
      <c r="I55" s="31"/>
      <c r="J55" s="31"/>
      <c r="K55" s="31"/>
      <c r="L55" s="31"/>
      <c r="M55" s="31"/>
      <c r="N55" s="31"/>
      <c r="O55" s="31"/>
      <c r="P55" s="31"/>
      <c r="Q55" s="31"/>
      <c r="R55" s="31"/>
      <c r="S55" s="31"/>
      <c r="T55" s="31"/>
      <c r="U55" s="31"/>
      <c r="V55" s="31"/>
    </row>
    <row r="56">
      <c r="A56" s="31"/>
      <c r="B56" s="31"/>
      <c r="C56" s="31"/>
      <c r="D56" s="31"/>
      <c r="E56" s="31"/>
      <c r="F56" s="31"/>
      <c r="G56" s="31"/>
      <c r="H56" s="31"/>
      <c r="I56" s="31"/>
      <c r="J56" s="31"/>
      <c r="K56" s="31"/>
      <c r="L56" s="31"/>
      <c r="M56" s="31"/>
      <c r="N56" s="31"/>
      <c r="O56" s="31"/>
      <c r="P56" s="31"/>
      <c r="Q56" s="31"/>
      <c r="R56" s="31"/>
      <c r="S56" s="31"/>
      <c r="T56" s="31"/>
      <c r="U56" s="31"/>
      <c r="V56" s="31"/>
    </row>
    <row r="57">
      <c r="A57" s="31"/>
      <c r="B57" s="31"/>
      <c r="C57" s="31"/>
      <c r="D57" s="31"/>
      <c r="E57" s="31"/>
      <c r="F57" s="31"/>
      <c r="G57" s="31"/>
      <c r="H57" s="31"/>
      <c r="I57" s="31"/>
      <c r="J57" s="31"/>
      <c r="K57" s="31"/>
      <c r="L57" s="31"/>
      <c r="M57" s="31"/>
      <c r="N57" s="31"/>
      <c r="O57" s="31"/>
      <c r="P57" s="31"/>
      <c r="Q57" s="31"/>
      <c r="R57" s="31"/>
      <c r="S57" s="31"/>
      <c r="T57" s="31"/>
      <c r="U57" s="31"/>
      <c r="V57" s="31"/>
    </row>
    <row r="58">
      <c r="A58" s="31"/>
      <c r="B58" s="31"/>
      <c r="C58" s="31"/>
      <c r="D58" s="31"/>
      <c r="E58" s="31"/>
      <c r="F58" s="31"/>
      <c r="G58" s="31"/>
      <c r="H58" s="31"/>
      <c r="I58" s="31"/>
      <c r="J58" s="31"/>
      <c r="K58" s="31"/>
      <c r="L58" s="31"/>
      <c r="M58" s="31"/>
      <c r="N58" s="31"/>
      <c r="O58" s="31"/>
      <c r="P58" s="31"/>
      <c r="Q58" s="31"/>
      <c r="R58" s="31"/>
      <c r="S58" s="31"/>
      <c r="T58" s="31"/>
      <c r="U58" s="31"/>
      <c r="V58" s="31"/>
    </row>
    <row r="59">
      <c r="A59" s="31"/>
      <c r="B59" s="31"/>
      <c r="C59" s="31"/>
      <c r="D59" s="31"/>
      <c r="E59" s="31"/>
      <c r="F59" s="31"/>
      <c r="G59" s="31"/>
      <c r="H59" s="31"/>
      <c r="I59" s="31"/>
      <c r="J59" s="31"/>
      <c r="K59" s="31"/>
      <c r="L59" s="31"/>
      <c r="M59" s="31"/>
      <c r="N59" s="31"/>
      <c r="O59" s="31"/>
      <c r="P59" s="31"/>
      <c r="Q59" s="31"/>
      <c r="R59" s="31"/>
      <c r="S59" s="31"/>
      <c r="T59" s="31"/>
      <c r="U59" s="31"/>
      <c r="V59" s="31"/>
    </row>
    <row r="60">
      <c r="A60" s="31"/>
      <c r="B60" s="31"/>
      <c r="C60" s="31"/>
      <c r="D60" s="31"/>
      <c r="E60" s="31"/>
      <c r="F60" s="31"/>
      <c r="G60" s="31"/>
      <c r="H60" s="31"/>
      <c r="I60" s="31"/>
      <c r="J60" s="31"/>
      <c r="K60" s="31"/>
      <c r="L60" s="31"/>
      <c r="M60" s="31"/>
      <c r="N60" s="31"/>
      <c r="O60" s="31"/>
      <c r="P60" s="31"/>
      <c r="Q60" s="31"/>
      <c r="R60" s="31"/>
      <c r="S60" s="31"/>
      <c r="T60" s="31"/>
      <c r="U60" s="31"/>
      <c r="V60" s="31"/>
    </row>
    <row r="61">
      <c r="A61" s="31"/>
      <c r="B61" s="31"/>
      <c r="C61" s="31"/>
      <c r="D61" s="31"/>
      <c r="E61" s="31"/>
      <c r="F61" s="31"/>
      <c r="G61" s="31"/>
      <c r="H61" s="31"/>
      <c r="I61" s="31"/>
      <c r="J61" s="31"/>
      <c r="K61" s="31"/>
      <c r="L61" s="31"/>
      <c r="M61" s="31"/>
      <c r="N61" s="31"/>
      <c r="O61" s="31"/>
      <c r="P61" s="31"/>
      <c r="Q61" s="31"/>
      <c r="R61" s="31"/>
      <c r="S61" s="31"/>
      <c r="T61" s="31"/>
      <c r="U61" s="31"/>
      <c r="V61" s="31"/>
    </row>
    <row r="62">
      <c r="A62" s="31"/>
      <c r="B62" s="31"/>
      <c r="C62" s="31"/>
      <c r="D62" s="31"/>
      <c r="E62" s="31"/>
      <c r="F62" s="31"/>
      <c r="G62" s="31"/>
      <c r="H62" s="31"/>
      <c r="I62" s="31"/>
      <c r="J62" s="31"/>
      <c r="K62" s="31"/>
      <c r="L62" s="31"/>
      <c r="M62" s="31"/>
      <c r="N62" s="31"/>
      <c r="O62" s="31"/>
      <c r="P62" s="31"/>
      <c r="Q62" s="31"/>
      <c r="R62" s="31"/>
      <c r="S62" s="31"/>
      <c r="T62" s="31"/>
      <c r="U62" s="31"/>
      <c r="V62" s="31"/>
    </row>
    <row r="63">
      <c r="A63" s="31"/>
      <c r="B63" s="31"/>
      <c r="C63" s="31"/>
      <c r="D63" s="31"/>
      <c r="E63" s="31"/>
      <c r="F63" s="31"/>
      <c r="G63" s="31"/>
      <c r="H63" s="31"/>
      <c r="I63" s="31"/>
      <c r="J63" s="31"/>
      <c r="K63" s="31"/>
      <c r="L63" s="31"/>
      <c r="M63" s="31"/>
      <c r="N63" s="31"/>
      <c r="O63" s="31"/>
      <c r="P63" s="31"/>
      <c r="Q63" s="31"/>
      <c r="R63" s="31"/>
      <c r="S63" s="31"/>
      <c r="T63" s="31"/>
      <c r="U63" s="31"/>
      <c r="V63" s="31"/>
    </row>
    <row r="64">
      <c r="A64" s="31"/>
      <c r="B64" s="31"/>
      <c r="C64" s="31"/>
      <c r="D64" s="31"/>
      <c r="E64" s="31"/>
      <c r="F64" s="31"/>
      <c r="G64" s="31"/>
      <c r="H64" s="31"/>
      <c r="I64" s="31"/>
      <c r="J64" s="31"/>
      <c r="K64" s="31"/>
      <c r="L64" s="31"/>
      <c r="M64" s="31"/>
      <c r="N64" s="31"/>
      <c r="O64" s="31"/>
      <c r="P64" s="31"/>
      <c r="Q64" s="31"/>
      <c r="R64" s="31"/>
      <c r="S64" s="31"/>
      <c r="T64" s="31"/>
      <c r="U64" s="31"/>
      <c r="V64" s="31"/>
    </row>
    <row r="65">
      <c r="A65" s="31"/>
      <c r="B65" s="31"/>
      <c r="C65" s="31"/>
      <c r="D65" s="31"/>
      <c r="E65" s="31"/>
      <c r="F65" s="31"/>
      <c r="G65" s="31"/>
      <c r="H65" s="31"/>
      <c r="I65" s="31"/>
      <c r="J65" s="31"/>
      <c r="K65" s="31"/>
      <c r="L65" s="31"/>
      <c r="M65" s="31"/>
      <c r="N65" s="31"/>
      <c r="O65" s="31"/>
      <c r="P65" s="31"/>
      <c r="Q65" s="31"/>
      <c r="R65" s="31"/>
      <c r="S65" s="31"/>
      <c r="T65" s="31"/>
      <c r="U65" s="31"/>
      <c r="V65" s="31"/>
    </row>
    <row r="66">
      <c r="A66" s="31"/>
      <c r="B66" s="31"/>
      <c r="C66" s="31"/>
      <c r="D66" s="31"/>
      <c r="E66" s="31"/>
      <c r="F66" s="31"/>
      <c r="G66" s="31"/>
      <c r="H66" s="31"/>
      <c r="I66" s="31"/>
      <c r="J66" s="31"/>
      <c r="K66" s="31"/>
      <c r="L66" s="31"/>
      <c r="M66" s="31"/>
      <c r="N66" s="31"/>
      <c r="O66" s="31"/>
      <c r="P66" s="31"/>
      <c r="Q66" s="31"/>
      <c r="R66" s="31"/>
      <c r="S66" s="31"/>
      <c r="T66" s="31"/>
      <c r="U66" s="31"/>
      <c r="V66" s="31"/>
    </row>
    <row r="67">
      <c r="A67" s="31"/>
      <c r="B67" s="31"/>
      <c r="C67" s="31"/>
      <c r="D67" s="31"/>
      <c r="E67" s="31"/>
      <c r="F67" s="31"/>
      <c r="G67" s="31"/>
      <c r="H67" s="31"/>
      <c r="I67" s="31"/>
      <c r="J67" s="31"/>
      <c r="K67" s="31"/>
      <c r="L67" s="31"/>
      <c r="M67" s="31"/>
      <c r="N67" s="31"/>
      <c r="O67" s="31"/>
      <c r="P67" s="31"/>
      <c r="Q67" s="31"/>
      <c r="R67" s="31"/>
      <c r="S67" s="31"/>
      <c r="T67" s="31"/>
      <c r="U67" s="31"/>
      <c r="V67" s="31"/>
    </row>
    <row r="68">
      <c r="A68" s="31"/>
      <c r="B68" s="31"/>
      <c r="C68" s="31"/>
      <c r="D68" s="31"/>
      <c r="E68" s="31"/>
      <c r="F68" s="31"/>
      <c r="G68" s="31"/>
      <c r="H68" s="31"/>
      <c r="I68" s="31"/>
      <c r="J68" s="31"/>
      <c r="K68" s="31"/>
      <c r="L68" s="31"/>
      <c r="M68" s="31"/>
      <c r="N68" s="31"/>
      <c r="O68" s="31"/>
      <c r="P68" s="31"/>
      <c r="Q68" s="31"/>
      <c r="R68" s="31"/>
      <c r="S68" s="31"/>
      <c r="T68" s="31"/>
      <c r="U68" s="31"/>
      <c r="V68" s="31"/>
    </row>
    <row r="69">
      <c r="A69" s="31"/>
      <c r="B69" s="31"/>
      <c r="C69" s="31"/>
      <c r="D69" s="31"/>
      <c r="E69" s="31"/>
      <c r="F69" s="31"/>
      <c r="G69" s="31"/>
      <c r="H69" s="31"/>
      <c r="I69" s="31"/>
      <c r="J69" s="31"/>
      <c r="K69" s="31"/>
      <c r="L69" s="31"/>
      <c r="M69" s="31"/>
      <c r="N69" s="31"/>
      <c r="O69" s="31"/>
      <c r="P69" s="31"/>
      <c r="Q69" s="31"/>
      <c r="R69" s="31"/>
      <c r="S69" s="31"/>
      <c r="T69" s="31"/>
      <c r="U69" s="31"/>
      <c r="V69" s="31"/>
    </row>
    <row r="70">
      <c r="A70" s="31"/>
      <c r="B70" s="31"/>
      <c r="C70" s="31"/>
      <c r="D70" s="31"/>
      <c r="E70" s="31"/>
      <c r="F70" s="31"/>
      <c r="G70" s="31"/>
      <c r="H70" s="31"/>
      <c r="I70" s="31"/>
      <c r="J70" s="31"/>
      <c r="K70" s="31"/>
      <c r="L70" s="31"/>
      <c r="M70" s="31"/>
      <c r="N70" s="31"/>
      <c r="O70" s="31"/>
      <c r="P70" s="31"/>
      <c r="Q70" s="31"/>
      <c r="R70" s="31"/>
      <c r="S70" s="31"/>
      <c r="T70" s="31"/>
      <c r="U70" s="31"/>
      <c r="V70" s="31"/>
    </row>
    <row r="71">
      <c r="A71" s="31"/>
      <c r="B71" s="31"/>
      <c r="C71" s="31"/>
      <c r="D71" s="31"/>
      <c r="E71" s="31"/>
      <c r="F71" s="31"/>
      <c r="G71" s="31"/>
      <c r="H71" s="31"/>
      <c r="I71" s="31"/>
      <c r="J71" s="31"/>
      <c r="K71" s="31"/>
      <c r="L71" s="31"/>
      <c r="M71" s="31"/>
      <c r="N71" s="31"/>
      <c r="O71" s="31"/>
      <c r="P71" s="31"/>
      <c r="Q71" s="31"/>
      <c r="R71" s="31"/>
      <c r="S71" s="31"/>
      <c r="T71" s="31"/>
      <c r="U71" s="31"/>
      <c r="V71" s="31"/>
    </row>
    <row r="72">
      <c r="A72" s="31"/>
      <c r="B72" s="31"/>
      <c r="C72" s="31"/>
      <c r="D72" s="31"/>
      <c r="E72" s="31"/>
      <c r="F72" s="31"/>
      <c r="G72" s="31"/>
      <c r="H72" s="31"/>
      <c r="I72" s="31"/>
      <c r="J72" s="31"/>
      <c r="K72" s="31"/>
      <c r="L72" s="31"/>
      <c r="M72" s="31"/>
      <c r="N72" s="31"/>
      <c r="O72" s="31"/>
      <c r="P72" s="31"/>
      <c r="Q72" s="31"/>
      <c r="R72" s="31"/>
      <c r="S72" s="31"/>
      <c r="T72" s="31"/>
      <c r="U72" s="31"/>
      <c r="V72" s="31"/>
    </row>
    <row r="73">
      <c r="A73" s="31"/>
      <c r="B73" s="31"/>
      <c r="C73" s="31"/>
      <c r="D73" s="31"/>
      <c r="E73" s="31"/>
      <c r="F73" s="31"/>
      <c r="G73" s="31"/>
      <c r="H73" s="31"/>
      <c r="I73" s="31"/>
      <c r="J73" s="31"/>
      <c r="K73" s="31"/>
      <c r="L73" s="31"/>
      <c r="M73" s="31"/>
      <c r="N73" s="31"/>
      <c r="O73" s="31"/>
      <c r="P73" s="31"/>
      <c r="Q73" s="31"/>
      <c r="R73" s="31"/>
      <c r="S73" s="31"/>
      <c r="T73" s="31"/>
      <c r="U73" s="31"/>
      <c r="V73" s="31"/>
    </row>
    <row r="74">
      <c r="A74" s="31"/>
      <c r="B74" s="31"/>
      <c r="C74" s="31"/>
      <c r="D74" s="31"/>
      <c r="E74" s="31"/>
      <c r="F74" s="31"/>
      <c r="G74" s="31"/>
      <c r="H74" s="31"/>
      <c r="I74" s="31"/>
      <c r="J74" s="31"/>
      <c r="K74" s="31"/>
      <c r="L74" s="31"/>
      <c r="M74" s="31"/>
      <c r="N74" s="31"/>
      <c r="O74" s="31"/>
      <c r="P74" s="31"/>
      <c r="Q74" s="31"/>
      <c r="R74" s="31"/>
      <c r="S74" s="31"/>
      <c r="T74" s="31"/>
      <c r="U74" s="31"/>
      <c r="V74" s="31"/>
    </row>
    <row r="75">
      <c r="A75" s="31"/>
      <c r="B75" s="31"/>
      <c r="C75" s="31"/>
      <c r="D75" s="31"/>
      <c r="E75" s="31"/>
      <c r="F75" s="31"/>
      <c r="G75" s="31"/>
      <c r="H75" s="31"/>
      <c r="I75" s="31"/>
      <c r="J75" s="31"/>
      <c r="K75" s="31"/>
      <c r="L75" s="31"/>
      <c r="M75" s="31"/>
      <c r="N75" s="31"/>
      <c r="O75" s="31"/>
      <c r="P75" s="31"/>
      <c r="Q75" s="31"/>
      <c r="R75" s="31"/>
      <c r="S75" s="31"/>
      <c r="T75" s="31"/>
      <c r="U75" s="31"/>
      <c r="V75" s="31"/>
    </row>
    <row r="76">
      <c r="A76" s="31"/>
      <c r="B76" s="31"/>
      <c r="C76" s="31"/>
      <c r="D76" s="31"/>
      <c r="E76" s="31"/>
      <c r="F76" s="31"/>
      <c r="G76" s="31"/>
      <c r="H76" s="31"/>
      <c r="I76" s="31"/>
      <c r="J76" s="31"/>
      <c r="K76" s="31"/>
      <c r="L76" s="31"/>
      <c r="M76" s="31"/>
      <c r="N76" s="31"/>
      <c r="O76" s="31"/>
      <c r="P76" s="31"/>
      <c r="Q76" s="31"/>
      <c r="R76" s="31"/>
      <c r="S76" s="31"/>
      <c r="T76" s="31"/>
      <c r="U76" s="31"/>
      <c r="V76" s="31"/>
    </row>
    <row r="77">
      <c r="A77" s="31"/>
      <c r="B77" s="31"/>
      <c r="C77" s="31"/>
      <c r="D77" s="31"/>
      <c r="E77" s="31"/>
      <c r="F77" s="31"/>
      <c r="G77" s="31"/>
      <c r="H77" s="31"/>
      <c r="I77" s="31"/>
      <c r="J77" s="31"/>
      <c r="K77" s="31"/>
      <c r="L77" s="31"/>
      <c r="M77" s="31"/>
      <c r="N77" s="31"/>
      <c r="O77" s="31"/>
      <c r="P77" s="31"/>
      <c r="Q77" s="31"/>
      <c r="R77" s="31"/>
      <c r="S77" s="31"/>
      <c r="T77" s="31"/>
      <c r="U77" s="31"/>
      <c r="V77" s="31"/>
    </row>
    <row r="78">
      <c r="A78" s="31"/>
      <c r="B78" s="31"/>
      <c r="C78" s="31"/>
      <c r="D78" s="31"/>
      <c r="E78" s="31"/>
      <c r="F78" s="31"/>
      <c r="G78" s="31"/>
      <c r="H78" s="31"/>
      <c r="I78" s="31"/>
      <c r="J78" s="31"/>
      <c r="K78" s="31"/>
      <c r="L78" s="31"/>
      <c r="M78" s="31"/>
      <c r="N78" s="31"/>
      <c r="O78" s="31"/>
      <c r="P78" s="31"/>
      <c r="Q78" s="31"/>
      <c r="R78" s="31"/>
      <c r="S78" s="31"/>
      <c r="T78" s="31"/>
      <c r="U78" s="31"/>
      <c r="V78" s="31"/>
    </row>
    <row r="79">
      <c r="A79" s="31"/>
      <c r="B79" s="31"/>
      <c r="C79" s="31"/>
      <c r="D79" s="31"/>
      <c r="E79" s="31"/>
      <c r="F79" s="31"/>
      <c r="G79" s="31"/>
      <c r="H79" s="31"/>
      <c r="I79" s="31"/>
      <c r="J79" s="31"/>
      <c r="K79" s="31"/>
      <c r="L79" s="31"/>
      <c r="M79" s="31"/>
      <c r="N79" s="31"/>
      <c r="O79" s="31"/>
      <c r="P79" s="31"/>
      <c r="Q79" s="31"/>
      <c r="R79" s="31"/>
      <c r="S79" s="31"/>
      <c r="T79" s="31"/>
      <c r="U79" s="31"/>
      <c r="V79" s="31"/>
    </row>
    <row r="80">
      <c r="A80" s="31"/>
      <c r="B80" s="31"/>
      <c r="C80" s="31"/>
      <c r="D80" s="31"/>
      <c r="E80" s="31"/>
      <c r="F80" s="31"/>
      <c r="G80" s="31"/>
      <c r="H80" s="31"/>
      <c r="I80" s="31"/>
      <c r="J80" s="31"/>
      <c r="K80" s="31"/>
      <c r="L80" s="31"/>
      <c r="M80" s="31"/>
      <c r="N80" s="31"/>
      <c r="O80" s="31"/>
      <c r="P80" s="31"/>
      <c r="Q80" s="31"/>
      <c r="R80" s="31"/>
      <c r="S80" s="31"/>
      <c r="T80" s="31"/>
      <c r="U80" s="31"/>
      <c r="V80" s="31"/>
    </row>
    <row r="81">
      <c r="A81" s="31"/>
      <c r="B81" s="31"/>
      <c r="C81" s="31"/>
      <c r="D81" s="31"/>
      <c r="E81" s="31"/>
      <c r="F81" s="31"/>
      <c r="G81" s="31"/>
      <c r="H81" s="31"/>
      <c r="I81" s="31"/>
      <c r="J81" s="31"/>
      <c r="K81" s="31"/>
      <c r="L81" s="31"/>
      <c r="M81" s="31"/>
      <c r="N81" s="31"/>
      <c r="O81" s="31"/>
      <c r="P81" s="31"/>
      <c r="Q81" s="31"/>
      <c r="R81" s="31"/>
      <c r="S81" s="31"/>
      <c r="T81" s="31"/>
      <c r="U81" s="31"/>
      <c r="V81" s="31"/>
    </row>
    <row r="82">
      <c r="A82" s="31"/>
      <c r="B82" s="31"/>
      <c r="C82" s="31"/>
      <c r="D82" s="31"/>
      <c r="E82" s="31"/>
      <c r="F82" s="31"/>
      <c r="G82" s="31"/>
      <c r="H82" s="31"/>
      <c r="I82" s="31"/>
      <c r="J82" s="31"/>
      <c r="K82" s="31"/>
      <c r="L82" s="31"/>
      <c r="M82" s="31"/>
      <c r="N82" s="31"/>
      <c r="O82" s="31"/>
      <c r="P82" s="31"/>
      <c r="Q82" s="31"/>
      <c r="R82" s="31"/>
      <c r="S82" s="31"/>
      <c r="T82" s="31"/>
      <c r="U82" s="31"/>
      <c r="V82" s="31"/>
    </row>
    <row r="83">
      <c r="A83" s="31"/>
      <c r="B83" s="31"/>
      <c r="C83" s="31"/>
      <c r="D83" s="31"/>
      <c r="E83" s="31"/>
      <c r="F83" s="31"/>
      <c r="G83" s="31"/>
      <c r="H83" s="31"/>
      <c r="I83" s="31"/>
      <c r="J83" s="31"/>
      <c r="K83" s="31"/>
      <c r="L83" s="31"/>
      <c r="M83" s="31"/>
      <c r="N83" s="31"/>
      <c r="O83" s="31"/>
      <c r="P83" s="31"/>
      <c r="Q83" s="31"/>
      <c r="R83" s="31"/>
      <c r="S83" s="31"/>
      <c r="T83" s="31"/>
      <c r="U83" s="31"/>
      <c r="V83" s="31"/>
    </row>
    <row r="84">
      <c r="A84" s="31"/>
      <c r="B84" s="31"/>
      <c r="C84" s="31"/>
      <c r="D84" s="31"/>
      <c r="E84" s="31"/>
      <c r="F84" s="31"/>
      <c r="G84" s="31"/>
      <c r="H84" s="31"/>
      <c r="I84" s="31"/>
      <c r="J84" s="31"/>
      <c r="K84" s="31"/>
      <c r="L84" s="31"/>
      <c r="M84" s="31"/>
      <c r="N84" s="31"/>
      <c r="O84" s="31"/>
      <c r="P84" s="31"/>
      <c r="Q84" s="31"/>
      <c r="R84" s="31"/>
      <c r="S84" s="31"/>
      <c r="T84" s="31"/>
      <c r="U84" s="31"/>
      <c r="V84" s="31"/>
    </row>
    <row r="85">
      <c r="A85" s="31"/>
      <c r="B85" s="31"/>
      <c r="C85" s="31"/>
      <c r="D85" s="31"/>
      <c r="E85" s="31"/>
      <c r="F85" s="31"/>
      <c r="G85" s="31"/>
      <c r="H85" s="31"/>
      <c r="I85" s="31"/>
      <c r="J85" s="31"/>
      <c r="K85" s="31"/>
      <c r="L85" s="31"/>
      <c r="M85" s="31"/>
      <c r="N85" s="31"/>
      <c r="O85" s="31"/>
      <c r="P85" s="31"/>
      <c r="Q85" s="31"/>
      <c r="R85" s="31"/>
      <c r="S85" s="31"/>
      <c r="T85" s="31"/>
      <c r="U85" s="31"/>
      <c r="V85" s="31"/>
    </row>
    <row r="86">
      <c r="A86" s="31"/>
      <c r="B86" s="31"/>
      <c r="C86" s="31"/>
      <c r="D86" s="31"/>
      <c r="E86" s="31"/>
      <c r="F86" s="31"/>
      <c r="G86" s="31"/>
      <c r="H86" s="31"/>
      <c r="I86" s="31"/>
      <c r="J86" s="31"/>
      <c r="K86" s="31"/>
      <c r="L86" s="31"/>
      <c r="M86" s="31"/>
      <c r="N86" s="31"/>
      <c r="O86" s="31"/>
      <c r="P86" s="31"/>
      <c r="Q86" s="31"/>
      <c r="R86" s="31"/>
      <c r="S86" s="31"/>
      <c r="T86" s="31"/>
      <c r="U86" s="31"/>
      <c r="V86" s="31"/>
    </row>
    <row r="87">
      <c r="A87" s="31"/>
      <c r="B87" s="31"/>
      <c r="C87" s="31"/>
      <c r="D87" s="31"/>
      <c r="E87" s="31"/>
      <c r="F87" s="31"/>
      <c r="G87" s="31"/>
      <c r="H87" s="31"/>
      <c r="I87" s="31"/>
      <c r="J87" s="31"/>
      <c r="K87" s="31"/>
      <c r="L87" s="31"/>
      <c r="M87" s="31"/>
      <c r="N87" s="31"/>
      <c r="O87" s="31"/>
      <c r="P87" s="31"/>
      <c r="Q87" s="31"/>
      <c r="R87" s="31"/>
      <c r="S87" s="31"/>
      <c r="T87" s="31"/>
      <c r="U87" s="31"/>
      <c r="V87" s="31"/>
    </row>
    <row r="88">
      <c r="A88" s="31"/>
      <c r="B88" s="31"/>
      <c r="C88" s="31"/>
      <c r="D88" s="31"/>
      <c r="E88" s="31"/>
      <c r="F88" s="31"/>
      <c r="G88" s="31"/>
      <c r="H88" s="31"/>
      <c r="I88" s="31"/>
      <c r="J88" s="31"/>
      <c r="K88" s="31"/>
      <c r="L88" s="31"/>
      <c r="M88" s="31"/>
      <c r="N88" s="31"/>
      <c r="O88" s="31"/>
      <c r="P88" s="31"/>
      <c r="Q88" s="31"/>
      <c r="R88" s="31"/>
      <c r="S88" s="31"/>
      <c r="T88" s="31"/>
      <c r="U88" s="31"/>
      <c r="V88" s="31"/>
    </row>
    <row r="89">
      <c r="A89" s="31"/>
      <c r="B89" s="31"/>
      <c r="C89" s="31"/>
      <c r="D89" s="31"/>
      <c r="E89" s="31"/>
      <c r="F89" s="31"/>
      <c r="G89" s="31"/>
      <c r="H89" s="31"/>
      <c r="I89" s="31"/>
      <c r="J89" s="31"/>
      <c r="K89" s="31"/>
      <c r="L89" s="31"/>
      <c r="M89" s="31"/>
      <c r="N89" s="31"/>
      <c r="O89" s="31"/>
      <c r="P89" s="31"/>
      <c r="Q89" s="31"/>
      <c r="R89" s="31"/>
      <c r="S89" s="31"/>
      <c r="T89" s="31"/>
      <c r="U89" s="31"/>
      <c r="V89" s="31"/>
    </row>
    <row r="90">
      <c r="A90" s="31"/>
      <c r="B90" s="31"/>
      <c r="C90" s="31"/>
      <c r="D90" s="31"/>
      <c r="E90" s="31"/>
      <c r="F90" s="31"/>
      <c r="G90" s="31"/>
      <c r="H90" s="31"/>
      <c r="I90" s="31"/>
      <c r="J90" s="31"/>
      <c r="K90" s="31"/>
      <c r="L90" s="31"/>
      <c r="M90" s="31"/>
      <c r="N90" s="31"/>
      <c r="O90" s="31"/>
      <c r="P90" s="31"/>
      <c r="Q90" s="31"/>
      <c r="R90" s="31"/>
      <c r="S90" s="31"/>
      <c r="T90" s="31"/>
      <c r="U90" s="31"/>
      <c r="V90" s="31"/>
    </row>
    <row r="91">
      <c r="A91" s="31"/>
      <c r="B91" s="31"/>
      <c r="C91" s="31"/>
      <c r="D91" s="31"/>
      <c r="E91" s="31"/>
      <c r="F91" s="31"/>
      <c r="G91" s="31"/>
      <c r="H91" s="31"/>
      <c r="I91" s="31"/>
      <c r="J91" s="31"/>
      <c r="K91" s="31"/>
      <c r="L91" s="31"/>
      <c r="M91" s="31"/>
      <c r="N91" s="31"/>
      <c r="O91" s="31"/>
      <c r="P91" s="31"/>
      <c r="Q91" s="31"/>
      <c r="R91" s="31"/>
      <c r="S91" s="31"/>
      <c r="T91" s="31"/>
      <c r="U91" s="31"/>
      <c r="V91" s="31"/>
    </row>
    <row r="92">
      <c r="A92" s="31"/>
      <c r="B92" s="31"/>
      <c r="C92" s="31"/>
      <c r="D92" s="31"/>
      <c r="E92" s="31"/>
      <c r="F92" s="31"/>
      <c r="G92" s="31"/>
      <c r="H92" s="31"/>
      <c r="I92" s="31"/>
      <c r="J92" s="31"/>
      <c r="K92" s="31"/>
      <c r="L92" s="31"/>
      <c r="M92" s="31"/>
      <c r="N92" s="31"/>
      <c r="O92" s="31"/>
      <c r="P92" s="31"/>
      <c r="Q92" s="31"/>
      <c r="R92" s="31"/>
      <c r="S92" s="31"/>
      <c r="T92" s="31"/>
      <c r="U92" s="31"/>
      <c r="V92" s="31"/>
    </row>
    <row r="93">
      <c r="A93" s="31"/>
      <c r="B93" s="31"/>
      <c r="C93" s="31"/>
      <c r="D93" s="31"/>
      <c r="E93" s="31"/>
      <c r="F93" s="31"/>
      <c r="G93" s="31"/>
      <c r="H93" s="31"/>
      <c r="I93" s="31"/>
      <c r="J93" s="31"/>
      <c r="K93" s="31"/>
      <c r="L93" s="31"/>
      <c r="M93" s="31"/>
      <c r="N93" s="31"/>
      <c r="O93" s="31"/>
      <c r="P93" s="31"/>
      <c r="Q93" s="31"/>
      <c r="R93" s="31"/>
      <c r="S93" s="31"/>
      <c r="T93" s="31"/>
      <c r="U93" s="31"/>
      <c r="V93" s="31"/>
    </row>
    <row r="94">
      <c r="A94" s="31"/>
      <c r="B94" s="31"/>
      <c r="C94" s="31"/>
      <c r="D94" s="31"/>
      <c r="E94" s="31"/>
      <c r="F94" s="31"/>
      <c r="G94" s="31"/>
      <c r="H94" s="31"/>
      <c r="I94" s="31"/>
      <c r="J94" s="31"/>
      <c r="K94" s="31"/>
      <c r="L94" s="31"/>
      <c r="M94" s="31"/>
      <c r="N94" s="31"/>
      <c r="O94" s="31"/>
      <c r="P94" s="31"/>
      <c r="Q94" s="31"/>
      <c r="R94" s="31"/>
      <c r="S94" s="31"/>
      <c r="T94" s="31"/>
      <c r="U94" s="31"/>
      <c r="V94" s="31"/>
    </row>
    <row r="95">
      <c r="A95" s="31"/>
      <c r="B95" s="31"/>
      <c r="C95" s="31"/>
      <c r="D95" s="31"/>
      <c r="E95" s="31"/>
      <c r="F95" s="31"/>
      <c r="G95" s="31"/>
      <c r="H95" s="31"/>
      <c r="I95" s="31"/>
      <c r="J95" s="31"/>
      <c r="K95" s="31"/>
      <c r="L95" s="31"/>
      <c r="M95" s="31"/>
      <c r="N95" s="31"/>
      <c r="O95" s="31"/>
      <c r="P95" s="31"/>
      <c r="Q95" s="31"/>
      <c r="R95" s="31"/>
      <c r="S95" s="31"/>
      <c r="T95" s="31"/>
      <c r="U95" s="31"/>
      <c r="V95" s="31"/>
    </row>
    <row r="96">
      <c r="A96" s="31"/>
      <c r="B96" s="31"/>
      <c r="C96" s="31"/>
      <c r="D96" s="31"/>
      <c r="E96" s="31"/>
      <c r="F96" s="31"/>
      <c r="G96" s="31"/>
      <c r="H96" s="31"/>
      <c r="I96" s="31"/>
      <c r="J96" s="31"/>
      <c r="K96" s="31"/>
      <c r="L96" s="31"/>
      <c r="M96" s="31"/>
      <c r="N96" s="31"/>
      <c r="O96" s="31"/>
      <c r="P96" s="31"/>
      <c r="Q96" s="31"/>
      <c r="R96" s="31"/>
      <c r="S96" s="31"/>
      <c r="T96" s="31"/>
      <c r="U96" s="31"/>
      <c r="V96" s="31"/>
    </row>
    <row r="97">
      <c r="A97" s="31"/>
      <c r="B97" s="31"/>
      <c r="C97" s="31"/>
      <c r="D97" s="31"/>
      <c r="E97" s="31"/>
      <c r="F97" s="31"/>
      <c r="G97" s="31"/>
      <c r="H97" s="31"/>
      <c r="I97" s="31"/>
      <c r="J97" s="31"/>
      <c r="K97" s="31"/>
      <c r="L97" s="31"/>
      <c r="M97" s="31"/>
      <c r="N97" s="31"/>
      <c r="O97" s="31"/>
      <c r="P97" s="31"/>
      <c r="Q97" s="31"/>
      <c r="R97" s="31"/>
      <c r="S97" s="31"/>
      <c r="T97" s="31"/>
      <c r="U97" s="31"/>
      <c r="V97" s="31"/>
    </row>
    <row r="98">
      <c r="A98" s="31"/>
      <c r="B98" s="31"/>
      <c r="C98" s="31"/>
      <c r="D98" s="31"/>
      <c r="E98" s="31"/>
      <c r="F98" s="31"/>
      <c r="G98" s="31"/>
      <c r="H98" s="31"/>
      <c r="I98" s="31"/>
      <c r="J98" s="31"/>
      <c r="K98" s="31"/>
      <c r="L98" s="31"/>
      <c r="M98" s="31"/>
      <c r="N98" s="31"/>
      <c r="O98" s="31"/>
      <c r="P98" s="31"/>
      <c r="Q98" s="31"/>
      <c r="R98" s="31"/>
      <c r="S98" s="31"/>
      <c r="T98" s="31"/>
      <c r="U98" s="31"/>
      <c r="V98" s="31"/>
    </row>
    <row r="99">
      <c r="A99" s="31"/>
      <c r="B99" s="31"/>
      <c r="C99" s="31"/>
      <c r="D99" s="31"/>
      <c r="E99" s="31"/>
      <c r="F99" s="31"/>
      <c r="G99" s="31"/>
      <c r="H99" s="31"/>
      <c r="I99" s="31"/>
      <c r="J99" s="31"/>
      <c r="K99" s="31"/>
      <c r="L99" s="31"/>
      <c r="M99" s="31"/>
      <c r="N99" s="31"/>
      <c r="O99" s="31"/>
      <c r="P99" s="31"/>
      <c r="Q99" s="31"/>
      <c r="R99" s="31"/>
      <c r="S99" s="31"/>
      <c r="T99" s="31"/>
      <c r="U99" s="31"/>
      <c r="V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115</v>
      </c>
      <c r="D1" s="25" t="s">
        <v>193</v>
      </c>
      <c r="E1" s="2" t="str">
        <f t="shared" ref="E1:E15" si="1">SUBSTITUTE(D1," ","")</f>
        <v>908581994</v>
      </c>
    </row>
    <row r="2">
      <c r="D2" s="1" t="s">
        <v>195</v>
      </c>
      <c r="E2" s="2" t="str">
        <f t="shared" si="1"/>
        <v>970548389</v>
      </c>
    </row>
    <row r="3">
      <c r="D3" s="25" t="s">
        <v>196</v>
      </c>
      <c r="E3" s="2" t="str">
        <f t="shared" si="1"/>
        <v>974295925</v>
      </c>
    </row>
    <row r="4">
      <c r="D4" s="1" t="s">
        <v>197</v>
      </c>
      <c r="E4" s="2" t="str">
        <f t="shared" si="1"/>
        <v>970183486</v>
      </c>
    </row>
    <row r="5">
      <c r="D5" s="25" t="s">
        <v>198</v>
      </c>
      <c r="E5" s="2" t="str">
        <f t="shared" si="1"/>
        <v>969751361</v>
      </c>
    </row>
    <row r="6">
      <c r="D6" s="25" t="s">
        <v>199</v>
      </c>
      <c r="E6" s="2" t="str">
        <f t="shared" si="1"/>
        <v>964089146</v>
      </c>
    </row>
    <row r="7">
      <c r="D7" s="25" t="s">
        <v>200</v>
      </c>
      <c r="E7" s="2" t="str">
        <f t="shared" si="1"/>
        <v>997651568</v>
      </c>
    </row>
    <row r="8">
      <c r="D8" s="1" t="s">
        <v>201</v>
      </c>
      <c r="E8" s="2" t="str">
        <f t="shared" si="1"/>
        <v>927313540</v>
      </c>
    </row>
    <row r="9">
      <c r="D9" s="1" t="s">
        <v>202</v>
      </c>
      <c r="E9" s="2" t="str">
        <f t="shared" si="1"/>
        <v>983788085</v>
      </c>
    </row>
    <row r="10">
      <c r="D10" s="1" t="s">
        <v>203</v>
      </c>
      <c r="E10" s="45" t="str">
        <f t="shared" si="1"/>
        <v>929329201</v>
      </c>
    </row>
    <row r="11">
      <c r="D11" s="25" t="s">
        <v>204</v>
      </c>
      <c r="E11" s="45" t="str">
        <f t="shared" si="1"/>
        <v>929952907</v>
      </c>
    </row>
    <row r="12">
      <c r="D12" s="1" t="s">
        <v>206</v>
      </c>
      <c r="E12" s="45" t="str">
        <f t="shared" si="1"/>
        <v>926122789</v>
      </c>
    </row>
    <row r="13">
      <c r="D13" s="25" t="s">
        <v>207</v>
      </c>
      <c r="E13" s="45" t="str">
        <f t="shared" si="1"/>
        <v>918639341</v>
      </c>
    </row>
    <row r="14">
      <c r="D14" s="1" t="s">
        <v>209</v>
      </c>
      <c r="E14" s="45" t="str">
        <f t="shared" si="1"/>
        <v>941497699</v>
      </c>
    </row>
    <row r="15">
      <c r="D15" s="1" t="s">
        <v>210</v>
      </c>
      <c r="E15" s="45" t="str">
        <f t="shared" si="1"/>
        <v>931819411</v>
      </c>
    </row>
    <row r="21">
      <c r="A21" s="1" t="s">
        <v>103</v>
      </c>
      <c r="D21" s="1" t="s">
        <v>211</v>
      </c>
      <c r="E21" s="2" t="str">
        <f t="shared" ref="E21:E35" si="2">SUBSTITUTE(D21," ","")</f>
        <v>922623472</v>
      </c>
    </row>
    <row r="22">
      <c r="D22" s="1" t="s">
        <v>214</v>
      </c>
      <c r="E22" s="2" t="str">
        <f t="shared" si="2"/>
        <v>927133043</v>
      </c>
    </row>
    <row r="23">
      <c r="D23" s="1" t="s">
        <v>215</v>
      </c>
      <c r="E23" s="2" t="str">
        <f t="shared" si="2"/>
        <v>944548945</v>
      </c>
    </row>
    <row r="24">
      <c r="D24" s="1" t="s">
        <v>216</v>
      </c>
      <c r="E24" s="2" t="str">
        <f t="shared" si="2"/>
        <v>990948146</v>
      </c>
    </row>
    <row r="25">
      <c r="D25" s="1" t="s">
        <v>217</v>
      </c>
      <c r="E25" s="2" t="str">
        <f t="shared" si="2"/>
        <v>901649673</v>
      </c>
    </row>
    <row r="26">
      <c r="D26" s="1" t="s">
        <v>218</v>
      </c>
      <c r="E26" s="2" t="str">
        <f t="shared" si="2"/>
        <v>900616921</v>
      </c>
    </row>
    <row r="27">
      <c r="D27" s="1" t="s">
        <v>219</v>
      </c>
      <c r="E27" s="2" t="str">
        <f t="shared" si="2"/>
        <v>966292204</v>
      </c>
    </row>
    <row r="28">
      <c r="D28" s="1" t="s">
        <v>220</v>
      </c>
      <c r="E28" s="2" t="str">
        <f t="shared" si="2"/>
        <v>995580510</v>
      </c>
    </row>
    <row r="29">
      <c r="D29" s="1" t="s">
        <v>221</v>
      </c>
      <c r="E29" s="2" t="str">
        <f t="shared" si="2"/>
        <v>912670982</v>
      </c>
    </row>
    <row r="30">
      <c r="D30" s="1" t="s">
        <v>223</v>
      </c>
      <c r="E30" s="2" t="str">
        <f t="shared" si="2"/>
        <v>925717511</v>
      </c>
    </row>
    <row r="31">
      <c r="D31" s="1" t="s">
        <v>224</v>
      </c>
      <c r="E31" s="2" t="str">
        <f t="shared" si="2"/>
        <v>935751416</v>
      </c>
    </row>
    <row r="32">
      <c r="D32" s="1" t="s">
        <v>226</v>
      </c>
      <c r="E32" s="2" t="str">
        <f t="shared" si="2"/>
        <v>932021153</v>
      </c>
    </row>
    <row r="33">
      <c r="D33" s="1" t="s">
        <v>227</v>
      </c>
      <c r="E33" s="2" t="str">
        <f t="shared" si="2"/>
        <v>993225031</v>
      </c>
    </row>
    <row r="34">
      <c r="D34" s="1" t="s">
        <v>228</v>
      </c>
      <c r="E34" s="2" t="str">
        <f t="shared" si="2"/>
        <v>947535089</v>
      </c>
    </row>
    <row r="35">
      <c r="D35" s="25" t="s">
        <v>229</v>
      </c>
      <c r="E35" s="2" t="str">
        <f t="shared" si="2"/>
        <v>951359337</v>
      </c>
    </row>
    <row r="36">
      <c r="E36" s="25"/>
    </row>
    <row r="42">
      <c r="E42" s="46">
        <v>9.0127097E8</v>
      </c>
    </row>
    <row r="43">
      <c r="E43" s="46">
        <v>9.48094308E8</v>
      </c>
    </row>
    <row r="44">
      <c r="E44" s="46">
        <v>9.25717511E8</v>
      </c>
    </row>
    <row r="45">
      <c r="E45" s="46">
        <v>9.91525434E8</v>
      </c>
    </row>
    <row r="46">
      <c r="E46" s="46">
        <v>9.51359337E8</v>
      </c>
    </row>
    <row r="47">
      <c r="E47" s="46">
        <v>9.24837677E8</v>
      </c>
    </row>
    <row r="48">
      <c r="E48" s="46">
        <v>9.2300991E8</v>
      </c>
    </row>
    <row r="49">
      <c r="E49" s="46">
        <v>9.07687801E8</v>
      </c>
    </row>
    <row r="50">
      <c r="E50" s="46">
        <v>9.14745311E8</v>
      </c>
    </row>
    <row r="51">
      <c r="E51" s="46">
        <v>9.9805E8</v>
      </c>
    </row>
    <row r="52">
      <c r="E52" s="46">
        <v>9.13457729E8</v>
      </c>
    </row>
    <row r="53">
      <c r="E53" s="46">
        <v>9.32021153E8</v>
      </c>
    </row>
    <row r="54">
      <c r="E54" s="46">
        <v>9.55615801E8</v>
      </c>
    </row>
    <row r="55">
      <c r="E55" s="46">
        <v>9.22286946E8</v>
      </c>
    </row>
    <row r="56">
      <c r="E56" s="46">
        <v>9.59927291E8</v>
      </c>
    </row>
    <row r="57">
      <c r="E57" s="46">
        <v>9.93225031E8</v>
      </c>
    </row>
    <row r="58">
      <c r="E58" s="46">
        <v>9.01149853E8</v>
      </c>
    </row>
    <row r="59">
      <c r="E59" s="46">
        <v>9.84185345E8</v>
      </c>
    </row>
    <row r="60">
      <c r="E60" s="46">
        <v>9.45201733E8</v>
      </c>
    </row>
    <row r="61">
      <c r="E61" s="46">
        <v>9.00786784E8</v>
      </c>
    </row>
    <row r="62">
      <c r="E62" s="46">
        <v>9.13912171E8</v>
      </c>
    </row>
    <row r="63">
      <c r="E63" s="47">
        <v>9.12506305E8</v>
      </c>
    </row>
    <row r="64">
      <c r="E64" s="46">
        <v>9.98861966E8</v>
      </c>
    </row>
    <row r="65">
      <c r="E65" s="46">
        <v>9.36295226E8</v>
      </c>
    </row>
    <row r="66">
      <c r="E66" s="46">
        <v>9.7113873E8</v>
      </c>
    </row>
  </sheetData>
  <conditionalFormatting sqref="E1:E1000">
    <cfRule type="expression" dxfId="0" priority="1">
      <formula>COUNTIF(E:E, E1)&gt;1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25"/>
    <col customWidth="1" min="2" max="2" width="37.63"/>
    <col customWidth="1" min="3" max="3" width="14.25"/>
    <col customWidth="1" min="5" max="7" width="14.25"/>
    <col customWidth="1" min="8" max="8" width="88.13"/>
  </cols>
  <sheetData>
    <row r="1" ht="22.5" customHeight="1">
      <c r="A1" s="51" t="s">
        <v>244</v>
      </c>
      <c r="B1" s="51" t="s">
        <v>246</v>
      </c>
      <c r="C1" s="52" t="s">
        <v>248</v>
      </c>
      <c r="D1" s="51" t="s">
        <v>249</v>
      </c>
      <c r="E1" s="52" t="s">
        <v>250</v>
      </c>
      <c r="F1" s="52" t="s">
        <v>251</v>
      </c>
      <c r="G1" s="52" t="s">
        <v>252</v>
      </c>
      <c r="H1" s="52" t="s">
        <v>253</v>
      </c>
      <c r="I1" s="53"/>
      <c r="J1" s="53"/>
      <c r="K1" s="53"/>
      <c r="L1" s="53"/>
      <c r="M1" s="53"/>
      <c r="N1" s="53"/>
      <c r="O1" s="53"/>
      <c r="P1" s="53"/>
      <c r="Q1" s="53"/>
      <c r="R1" s="53"/>
      <c r="S1" s="53"/>
      <c r="T1" s="53"/>
      <c r="U1" s="53"/>
      <c r="V1" s="53"/>
      <c r="W1" s="53"/>
      <c r="X1" s="53"/>
    </row>
    <row r="2" ht="22.5" customHeight="1">
      <c r="A2" s="54" t="s">
        <v>255</v>
      </c>
      <c r="B2" s="54" t="s">
        <v>257</v>
      </c>
      <c r="C2" s="55"/>
      <c r="D2" s="55"/>
      <c r="E2" s="55"/>
      <c r="F2" s="55"/>
      <c r="G2" s="55"/>
      <c r="H2" s="55"/>
      <c r="I2" s="53"/>
      <c r="J2" s="53"/>
      <c r="K2" s="53"/>
      <c r="L2" s="53"/>
      <c r="M2" s="53"/>
      <c r="N2" s="53"/>
      <c r="O2" s="53"/>
      <c r="P2" s="53"/>
      <c r="Q2" s="53"/>
      <c r="R2" s="53"/>
      <c r="S2" s="53"/>
      <c r="T2" s="53"/>
      <c r="U2" s="53"/>
      <c r="V2" s="53"/>
      <c r="W2" s="53"/>
      <c r="X2" s="53"/>
    </row>
    <row r="3" ht="22.5" customHeight="1">
      <c r="A3" s="54" t="s">
        <v>255</v>
      </c>
      <c r="B3" s="54" t="s">
        <v>259</v>
      </c>
      <c r="C3" s="55"/>
      <c r="D3" s="55"/>
      <c r="E3" s="55"/>
      <c r="F3" s="55"/>
      <c r="G3" s="55"/>
      <c r="H3" s="55"/>
      <c r="I3" s="53"/>
      <c r="J3" s="53"/>
      <c r="K3" s="53"/>
      <c r="L3" s="53"/>
      <c r="M3" s="53"/>
      <c r="N3" s="53"/>
      <c r="O3" s="53"/>
      <c r="P3" s="53"/>
      <c r="Q3" s="53"/>
      <c r="R3" s="53"/>
      <c r="S3" s="53"/>
      <c r="T3" s="53"/>
      <c r="U3" s="53"/>
      <c r="V3" s="53"/>
      <c r="W3" s="53"/>
      <c r="X3" s="53"/>
    </row>
    <row r="4" ht="22.5" customHeight="1">
      <c r="A4" s="54" t="s">
        <v>255</v>
      </c>
      <c r="B4" s="54" t="s">
        <v>262</v>
      </c>
      <c r="C4" s="55"/>
      <c r="D4" s="55"/>
      <c r="E4" s="55"/>
      <c r="F4" s="55"/>
      <c r="G4" s="55"/>
      <c r="H4" s="55"/>
      <c r="I4" s="53"/>
      <c r="J4" s="53"/>
      <c r="K4" s="53"/>
      <c r="L4" s="53"/>
      <c r="M4" s="53"/>
      <c r="N4" s="53"/>
      <c r="O4" s="53"/>
      <c r="P4" s="53"/>
      <c r="Q4" s="53"/>
      <c r="R4" s="53"/>
      <c r="S4" s="53"/>
      <c r="T4" s="53"/>
      <c r="U4" s="53"/>
      <c r="V4" s="53"/>
      <c r="W4" s="53"/>
      <c r="X4" s="53"/>
    </row>
    <row r="5" ht="22.5" customHeight="1">
      <c r="A5" s="54" t="s">
        <v>255</v>
      </c>
      <c r="B5" s="54" t="s">
        <v>264</v>
      </c>
      <c r="C5" s="55"/>
      <c r="D5" s="55"/>
      <c r="E5" s="55"/>
      <c r="F5" s="55"/>
      <c r="G5" s="55"/>
      <c r="H5" s="55"/>
      <c r="I5" s="53"/>
      <c r="J5" s="53"/>
      <c r="K5" s="53"/>
      <c r="L5" s="53"/>
      <c r="M5" s="53"/>
      <c r="N5" s="53"/>
      <c r="O5" s="53"/>
      <c r="P5" s="53"/>
      <c r="Q5" s="53"/>
      <c r="R5" s="53"/>
      <c r="S5" s="53"/>
      <c r="T5" s="53"/>
      <c r="U5" s="53"/>
      <c r="V5" s="53"/>
      <c r="W5" s="53"/>
      <c r="X5" s="53"/>
    </row>
    <row r="6" ht="22.5" customHeight="1">
      <c r="A6" s="54" t="s">
        <v>268</v>
      </c>
      <c r="B6" s="54" t="s">
        <v>269</v>
      </c>
      <c r="C6" s="55"/>
      <c r="D6" s="55"/>
      <c r="E6" s="55"/>
      <c r="F6" s="55"/>
      <c r="G6" s="55"/>
      <c r="H6" s="55"/>
      <c r="I6" s="53"/>
      <c r="J6" s="53"/>
      <c r="K6" s="53"/>
      <c r="L6" s="53"/>
      <c r="M6" s="53"/>
      <c r="N6" s="53"/>
      <c r="O6" s="53"/>
      <c r="P6" s="53"/>
      <c r="Q6" s="53"/>
      <c r="R6" s="53"/>
      <c r="S6" s="53"/>
      <c r="T6" s="53"/>
      <c r="U6" s="53"/>
      <c r="V6" s="53"/>
      <c r="W6" s="53"/>
      <c r="X6" s="53"/>
    </row>
    <row r="7" ht="22.5" customHeight="1">
      <c r="A7" s="54" t="s">
        <v>268</v>
      </c>
      <c r="B7" s="54" t="s">
        <v>273</v>
      </c>
      <c r="C7" s="55"/>
      <c r="D7" s="55"/>
      <c r="E7" s="55"/>
      <c r="F7" s="55"/>
      <c r="G7" s="55"/>
      <c r="H7" s="55"/>
      <c r="I7" s="53"/>
      <c r="J7" s="53"/>
      <c r="K7" s="53"/>
      <c r="L7" s="53"/>
      <c r="M7" s="53"/>
      <c r="N7" s="53"/>
      <c r="O7" s="53"/>
      <c r="P7" s="53"/>
      <c r="Q7" s="53"/>
      <c r="R7" s="53"/>
      <c r="S7" s="53"/>
      <c r="T7" s="53"/>
      <c r="U7" s="53"/>
      <c r="V7" s="53"/>
      <c r="W7" s="53"/>
      <c r="X7" s="53"/>
    </row>
    <row r="8" ht="22.5" customHeight="1">
      <c r="A8" s="54" t="s">
        <v>268</v>
      </c>
      <c r="B8" s="54" t="s">
        <v>274</v>
      </c>
      <c r="C8" s="55"/>
      <c r="D8" s="55"/>
      <c r="E8" s="55"/>
      <c r="F8" s="55"/>
      <c r="G8" s="55"/>
      <c r="H8" s="55"/>
      <c r="I8" s="53"/>
      <c r="J8" s="53"/>
      <c r="K8" s="53"/>
      <c r="L8" s="53"/>
      <c r="M8" s="53"/>
      <c r="N8" s="53"/>
      <c r="O8" s="53"/>
      <c r="P8" s="53"/>
      <c r="Q8" s="53"/>
      <c r="R8" s="53"/>
      <c r="S8" s="53"/>
      <c r="T8" s="53"/>
      <c r="U8" s="53"/>
      <c r="V8" s="53"/>
      <c r="W8" s="53"/>
      <c r="X8" s="53"/>
    </row>
    <row r="9" ht="22.5" customHeight="1">
      <c r="A9" s="54" t="s">
        <v>268</v>
      </c>
      <c r="B9" s="54" t="s">
        <v>277</v>
      </c>
      <c r="C9" s="55"/>
      <c r="D9" s="55"/>
      <c r="E9" s="55"/>
      <c r="F9" s="55"/>
      <c r="G9" s="55"/>
      <c r="H9" s="55"/>
      <c r="I9" s="53"/>
      <c r="J9" s="53"/>
      <c r="K9" s="53"/>
      <c r="L9" s="53"/>
      <c r="M9" s="53"/>
      <c r="N9" s="53"/>
      <c r="O9" s="53"/>
      <c r="P9" s="53"/>
      <c r="Q9" s="53"/>
      <c r="R9" s="53"/>
      <c r="S9" s="53"/>
      <c r="T9" s="53"/>
      <c r="U9" s="53"/>
      <c r="V9" s="53"/>
      <c r="W9" s="53"/>
      <c r="X9" s="53"/>
    </row>
    <row r="10" ht="22.5" customHeight="1">
      <c r="A10" s="54" t="s">
        <v>280</v>
      </c>
      <c r="B10" s="54" t="s">
        <v>281</v>
      </c>
      <c r="C10" s="55"/>
      <c r="D10" s="55"/>
      <c r="E10" s="55"/>
      <c r="F10" s="55"/>
      <c r="G10" s="55"/>
      <c r="H10" s="55"/>
      <c r="I10" s="53"/>
      <c r="J10" s="53"/>
      <c r="K10" s="53"/>
      <c r="L10" s="53"/>
      <c r="M10" s="53"/>
      <c r="N10" s="53"/>
      <c r="O10" s="53"/>
      <c r="P10" s="53"/>
      <c r="Q10" s="53"/>
      <c r="R10" s="53"/>
      <c r="S10" s="53"/>
      <c r="T10" s="53"/>
      <c r="U10" s="53"/>
      <c r="V10" s="53"/>
      <c r="W10" s="53"/>
      <c r="X10" s="53"/>
    </row>
    <row r="11" ht="22.5" customHeight="1">
      <c r="A11" s="54" t="s">
        <v>280</v>
      </c>
      <c r="B11" s="54" t="s">
        <v>282</v>
      </c>
      <c r="C11" s="55"/>
      <c r="D11" s="55"/>
      <c r="E11" s="55"/>
      <c r="F11" s="55"/>
      <c r="G11" s="55"/>
      <c r="H11" s="55"/>
      <c r="I11" s="53"/>
      <c r="J11" s="53"/>
      <c r="K11" s="53"/>
      <c r="L11" s="53"/>
      <c r="M11" s="53"/>
      <c r="N11" s="53"/>
      <c r="O11" s="53"/>
      <c r="P11" s="53"/>
      <c r="Q11" s="53"/>
      <c r="R11" s="53"/>
      <c r="S11" s="53"/>
      <c r="T11" s="53"/>
      <c r="U11" s="53"/>
      <c r="V11" s="53"/>
      <c r="W11" s="53"/>
      <c r="X11" s="53"/>
    </row>
    <row r="12" ht="22.5" customHeight="1">
      <c r="A12" s="54" t="s">
        <v>280</v>
      </c>
      <c r="B12" s="54" t="s">
        <v>285</v>
      </c>
      <c r="C12" s="55"/>
      <c r="D12" s="55"/>
      <c r="E12" s="55"/>
      <c r="F12" s="55"/>
      <c r="G12" s="55"/>
      <c r="H12" s="55"/>
      <c r="I12" s="53"/>
      <c r="J12" s="53"/>
      <c r="K12" s="53"/>
      <c r="L12" s="53"/>
      <c r="M12" s="53"/>
      <c r="N12" s="53"/>
      <c r="O12" s="53"/>
      <c r="P12" s="53"/>
      <c r="Q12" s="53"/>
      <c r="R12" s="53"/>
      <c r="S12" s="53"/>
      <c r="T12" s="53"/>
      <c r="U12" s="53"/>
      <c r="V12" s="53"/>
      <c r="W12" s="53"/>
      <c r="X12" s="53"/>
    </row>
    <row r="13" ht="22.5" customHeight="1">
      <c r="A13" s="54" t="s">
        <v>280</v>
      </c>
      <c r="B13" s="54" t="s">
        <v>288</v>
      </c>
      <c r="C13" s="55"/>
      <c r="D13" s="55"/>
      <c r="E13" s="55"/>
      <c r="F13" s="55"/>
      <c r="G13" s="55"/>
      <c r="H13" s="55"/>
      <c r="I13" s="53"/>
      <c r="J13" s="53"/>
      <c r="K13" s="53"/>
      <c r="L13" s="53"/>
      <c r="M13" s="53"/>
      <c r="N13" s="53"/>
      <c r="O13" s="53"/>
      <c r="P13" s="53"/>
      <c r="Q13" s="53"/>
      <c r="R13" s="53"/>
      <c r="S13" s="53"/>
      <c r="T13" s="53"/>
      <c r="U13" s="53"/>
      <c r="V13" s="53"/>
      <c r="W13" s="53"/>
      <c r="X13" s="53"/>
    </row>
    <row r="14" ht="22.5" customHeight="1">
      <c r="A14" s="54" t="s">
        <v>289</v>
      </c>
      <c r="B14" s="54" t="s">
        <v>62</v>
      </c>
      <c r="C14" s="55"/>
      <c r="D14" s="55"/>
      <c r="E14" s="55"/>
      <c r="F14" s="55"/>
      <c r="G14" s="55"/>
      <c r="H14" s="55"/>
      <c r="I14" s="53"/>
      <c r="J14" s="53"/>
      <c r="K14" s="53"/>
      <c r="L14" s="53"/>
      <c r="M14" s="53"/>
      <c r="N14" s="53"/>
      <c r="O14" s="53"/>
      <c r="P14" s="53"/>
      <c r="Q14" s="53"/>
      <c r="R14" s="53"/>
      <c r="S14" s="53"/>
      <c r="T14" s="53"/>
      <c r="U14" s="53"/>
      <c r="V14" s="53"/>
      <c r="W14" s="53"/>
      <c r="X14" s="53"/>
    </row>
    <row r="15" ht="22.5" customHeight="1">
      <c r="A15" s="54" t="s">
        <v>289</v>
      </c>
      <c r="B15" s="54" t="s">
        <v>292</v>
      </c>
      <c r="C15" s="55"/>
      <c r="D15" s="55"/>
      <c r="E15" s="55"/>
      <c r="F15" s="55"/>
      <c r="G15" s="55"/>
      <c r="H15" s="55"/>
      <c r="I15" s="53"/>
      <c r="J15" s="53"/>
      <c r="K15" s="53"/>
      <c r="L15" s="53"/>
      <c r="M15" s="53"/>
      <c r="N15" s="53"/>
      <c r="O15" s="53"/>
      <c r="P15" s="53"/>
      <c r="Q15" s="53"/>
      <c r="R15" s="53"/>
      <c r="S15" s="53"/>
      <c r="T15" s="53"/>
      <c r="U15" s="53"/>
      <c r="V15" s="53"/>
      <c r="W15" s="53"/>
      <c r="X15" s="53"/>
    </row>
    <row r="16" ht="22.5" customHeight="1">
      <c r="A16" s="54" t="s">
        <v>289</v>
      </c>
      <c r="B16" s="54" t="s">
        <v>294</v>
      </c>
      <c r="C16" s="55"/>
      <c r="D16" s="55"/>
      <c r="E16" s="55"/>
      <c r="F16" s="55"/>
      <c r="G16" s="55"/>
      <c r="H16" s="55"/>
      <c r="I16" s="53"/>
      <c r="J16" s="53"/>
      <c r="K16" s="53"/>
      <c r="L16" s="53"/>
      <c r="M16" s="53"/>
      <c r="N16" s="53"/>
      <c r="O16" s="53"/>
      <c r="P16" s="53"/>
      <c r="Q16" s="53"/>
      <c r="R16" s="53"/>
      <c r="S16" s="53"/>
      <c r="T16" s="53"/>
      <c r="U16" s="53"/>
      <c r="V16" s="53"/>
      <c r="W16" s="53"/>
      <c r="X16" s="53"/>
    </row>
    <row r="17" ht="22.5" customHeight="1">
      <c r="A17" s="54" t="s">
        <v>289</v>
      </c>
      <c r="B17" s="54" t="s">
        <v>296</v>
      </c>
      <c r="C17" s="55"/>
      <c r="D17" s="55"/>
      <c r="E17" s="55"/>
      <c r="F17" s="55"/>
      <c r="G17" s="55"/>
      <c r="H17" s="55"/>
      <c r="I17" s="53"/>
      <c r="J17" s="53"/>
      <c r="K17" s="53"/>
      <c r="L17" s="53"/>
      <c r="M17" s="53"/>
      <c r="N17" s="53"/>
      <c r="O17" s="53"/>
      <c r="P17" s="53"/>
      <c r="Q17" s="53"/>
      <c r="R17" s="53"/>
      <c r="S17" s="53"/>
      <c r="T17" s="53"/>
      <c r="U17" s="53"/>
      <c r="V17" s="53"/>
      <c r="W17" s="53"/>
      <c r="X17" s="53"/>
    </row>
    <row r="18" ht="22.5" customHeight="1">
      <c r="A18" s="54" t="s">
        <v>299</v>
      </c>
      <c r="B18" s="54" t="s">
        <v>300</v>
      </c>
      <c r="C18" s="55"/>
      <c r="D18" s="55"/>
      <c r="E18" s="55"/>
      <c r="F18" s="55"/>
      <c r="G18" s="55"/>
      <c r="H18" s="55"/>
      <c r="I18" s="53"/>
      <c r="J18" s="53"/>
      <c r="K18" s="53"/>
      <c r="L18" s="53"/>
      <c r="M18" s="53"/>
      <c r="N18" s="53"/>
      <c r="O18" s="53"/>
      <c r="P18" s="53"/>
      <c r="Q18" s="53"/>
      <c r="R18" s="53"/>
      <c r="S18" s="53"/>
      <c r="T18" s="53"/>
      <c r="U18" s="53"/>
      <c r="V18" s="53"/>
      <c r="W18" s="53"/>
      <c r="X18" s="53"/>
    </row>
    <row r="19" ht="22.5" customHeight="1">
      <c r="A19" s="54" t="s">
        <v>299</v>
      </c>
      <c r="B19" s="54" t="s">
        <v>304</v>
      </c>
      <c r="C19" s="55"/>
      <c r="D19" s="55"/>
      <c r="E19" s="55"/>
      <c r="F19" s="55"/>
      <c r="G19" s="55"/>
      <c r="H19" s="55"/>
      <c r="I19" s="53"/>
      <c r="J19" s="53"/>
      <c r="K19" s="53"/>
      <c r="L19" s="53"/>
      <c r="M19" s="53"/>
      <c r="N19" s="53"/>
      <c r="O19" s="53"/>
      <c r="P19" s="53"/>
      <c r="Q19" s="53"/>
      <c r="R19" s="53"/>
      <c r="S19" s="53"/>
      <c r="T19" s="53"/>
      <c r="U19" s="53"/>
      <c r="V19" s="53"/>
      <c r="W19" s="53"/>
      <c r="X19" s="53"/>
    </row>
    <row r="20" ht="22.5" customHeight="1">
      <c r="A20" s="54" t="s">
        <v>299</v>
      </c>
      <c r="B20" s="54" t="s">
        <v>306</v>
      </c>
      <c r="C20" s="55"/>
      <c r="D20" s="55"/>
      <c r="E20" s="55"/>
      <c r="F20" s="55"/>
      <c r="G20" s="55"/>
      <c r="H20" s="55"/>
      <c r="I20" s="53"/>
      <c r="J20" s="53"/>
      <c r="K20" s="53"/>
      <c r="L20" s="53"/>
      <c r="M20" s="53"/>
      <c r="N20" s="53"/>
      <c r="O20" s="53"/>
      <c r="P20" s="53"/>
      <c r="Q20" s="53"/>
      <c r="R20" s="53"/>
      <c r="S20" s="53"/>
      <c r="T20" s="53"/>
      <c r="U20" s="53"/>
      <c r="V20" s="53"/>
      <c r="W20" s="53"/>
      <c r="X20" s="53"/>
    </row>
    <row r="21">
      <c r="A21" s="58"/>
      <c r="B21" s="58"/>
      <c r="C21" s="58"/>
      <c r="D21" s="58"/>
      <c r="E21" s="58"/>
      <c r="F21" s="58"/>
      <c r="G21" s="58"/>
      <c r="H21" s="58"/>
      <c r="I21" s="53"/>
      <c r="J21" s="53"/>
      <c r="K21" s="53"/>
      <c r="L21" s="53"/>
      <c r="M21" s="53"/>
      <c r="N21" s="53"/>
      <c r="O21" s="53"/>
      <c r="P21" s="53"/>
      <c r="Q21" s="53"/>
      <c r="R21" s="53"/>
      <c r="S21" s="53"/>
      <c r="T21" s="53"/>
      <c r="U21" s="53"/>
      <c r="V21" s="53"/>
      <c r="W21" s="53"/>
      <c r="X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row>
    <row r="28">
      <c r="C28" s="53"/>
      <c r="D28" s="53"/>
      <c r="E28" s="53"/>
      <c r="F28" s="53"/>
      <c r="G28" s="53"/>
      <c r="H28" s="53"/>
      <c r="I28" s="53"/>
      <c r="J28" s="53"/>
      <c r="K28" s="53"/>
      <c r="L28" s="53"/>
      <c r="M28" s="53"/>
      <c r="N28" s="53"/>
      <c r="O28" s="53"/>
      <c r="P28" s="53"/>
      <c r="Q28" s="53"/>
      <c r="R28" s="53"/>
      <c r="S28" s="53"/>
      <c r="T28" s="53"/>
      <c r="U28" s="53"/>
      <c r="V28" s="53"/>
      <c r="W28" s="53"/>
      <c r="X28" s="53"/>
    </row>
    <row r="29">
      <c r="C29" s="53"/>
      <c r="D29" s="53"/>
      <c r="E29" s="53"/>
      <c r="F29" s="53"/>
      <c r="G29" s="53"/>
      <c r="H29" s="53"/>
      <c r="I29" s="53"/>
      <c r="J29" s="53"/>
      <c r="K29" s="53"/>
      <c r="L29" s="53"/>
      <c r="M29" s="53"/>
      <c r="N29" s="53"/>
      <c r="O29" s="53"/>
      <c r="P29" s="53"/>
      <c r="Q29" s="53"/>
      <c r="R29" s="53"/>
      <c r="S29" s="53"/>
      <c r="T29" s="53"/>
      <c r="U29" s="53"/>
      <c r="V29" s="53"/>
      <c r="W29" s="53"/>
      <c r="X29" s="53"/>
    </row>
    <row r="30">
      <c r="C30" s="53"/>
      <c r="D30" s="53"/>
      <c r="E30" s="53"/>
      <c r="F30" s="53"/>
      <c r="G30" s="53"/>
      <c r="H30" s="53"/>
      <c r="I30" s="53"/>
      <c r="J30" s="53"/>
      <c r="K30" s="53"/>
      <c r="L30" s="53"/>
      <c r="M30" s="53"/>
      <c r="N30" s="53"/>
      <c r="O30" s="53"/>
      <c r="P30" s="53"/>
      <c r="Q30" s="53"/>
      <c r="R30" s="53"/>
      <c r="S30" s="53"/>
      <c r="T30" s="53"/>
      <c r="U30" s="53"/>
      <c r="V30" s="53"/>
      <c r="W30" s="53"/>
      <c r="X30" s="53"/>
    </row>
    <row r="31">
      <c r="C31" s="53"/>
      <c r="D31" s="53"/>
      <c r="E31" s="53"/>
      <c r="F31" s="53"/>
      <c r="G31" s="53"/>
      <c r="H31" s="53"/>
      <c r="I31" s="53"/>
      <c r="J31" s="53"/>
      <c r="K31" s="53"/>
      <c r="L31" s="53"/>
      <c r="M31" s="53"/>
      <c r="N31" s="53"/>
      <c r="O31" s="53"/>
      <c r="P31" s="53"/>
      <c r="Q31" s="53"/>
      <c r="R31" s="53"/>
      <c r="S31" s="53"/>
      <c r="T31" s="53"/>
      <c r="U31" s="53"/>
      <c r="V31" s="53"/>
      <c r="W31" s="53"/>
      <c r="X31" s="53"/>
    </row>
    <row r="32">
      <c r="C32" s="53"/>
      <c r="D32" s="53"/>
      <c r="E32" s="53"/>
      <c r="F32" s="53"/>
      <c r="G32" s="53"/>
      <c r="H32" s="53"/>
      <c r="I32" s="53"/>
      <c r="J32" s="53"/>
      <c r="K32" s="53"/>
      <c r="L32" s="53"/>
      <c r="M32" s="53"/>
      <c r="N32" s="53"/>
      <c r="O32" s="53"/>
      <c r="P32" s="53"/>
      <c r="Q32" s="53"/>
      <c r="R32" s="53"/>
      <c r="S32" s="53"/>
      <c r="T32" s="53"/>
      <c r="U32" s="53"/>
      <c r="V32" s="53"/>
      <c r="W32" s="53"/>
      <c r="X32" s="53"/>
    </row>
    <row r="33">
      <c r="C33" s="53"/>
      <c r="D33" s="53"/>
      <c r="E33" s="53"/>
      <c r="F33" s="53"/>
      <c r="G33" s="53"/>
      <c r="H33" s="53"/>
      <c r="I33" s="53"/>
      <c r="J33" s="53"/>
      <c r="K33" s="53"/>
      <c r="L33" s="53"/>
      <c r="M33" s="53"/>
      <c r="N33" s="53"/>
      <c r="O33" s="53"/>
      <c r="P33" s="53"/>
      <c r="Q33" s="53"/>
      <c r="R33" s="53"/>
      <c r="S33" s="53"/>
      <c r="T33" s="53"/>
      <c r="U33" s="53"/>
      <c r="V33" s="53"/>
      <c r="W33" s="53"/>
      <c r="X33" s="53"/>
    </row>
    <row r="34">
      <c r="C34" s="53"/>
      <c r="D34" s="53"/>
      <c r="E34" s="53"/>
      <c r="F34" s="53"/>
      <c r="G34" s="53"/>
      <c r="H34" s="53"/>
      <c r="I34" s="53"/>
      <c r="J34" s="53"/>
      <c r="K34" s="53"/>
      <c r="L34" s="53"/>
      <c r="M34" s="53"/>
      <c r="N34" s="53"/>
      <c r="O34" s="53"/>
      <c r="P34" s="53"/>
      <c r="Q34" s="53"/>
      <c r="R34" s="53"/>
      <c r="S34" s="53"/>
      <c r="T34" s="53"/>
      <c r="U34" s="53"/>
      <c r="V34" s="53"/>
      <c r="W34" s="53"/>
      <c r="X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row>
  </sheetData>
  <drawing r:id="rId2"/>
  <tableParts count="1">
    <tablePart r:id="rId4"/>
  </tableParts>
</worksheet>
</file>